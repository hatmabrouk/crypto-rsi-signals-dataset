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6DC1C5B3-A9B7-B64C-BDB0-52E2C36EAF47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G27" i="1" l="1" a="1"/>
  <c r="G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<sst xmlns="http://schemas.openxmlformats.org/spreadsheetml/2006/main" count="7" uniqueCount="7">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</sst>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7"/>
  <sheetViews>
    <sheetView tabSelected="1" zoomScale="160" zoomScaleNormal="156" workbookViewId="0">
      <selection activeCell="F25" sqref="A2:F25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21107</v>
      </c>
      <c r="B2" s="7">
        <v>40.33</v>
      </c>
      <c r="C2" s="4">
        <v>21387</v>
      </c>
      <c r="D2" s="7">
        <v>46.97</v>
      </c>
      <c r="E2" s="7">
        <v>280</v>
      </c>
      <c r="F2" s="7">
        <v>16.46</v>
      </c>
      <c r="G2" s="3">
        <f>(D2/B2)^(7/E2)-1</f>
        <v>3.8176058428913695E-3</v>
      </c>
    </row>
    <row r="3" spans="1:9" ht="17" thickBot="1" x14ac:dyDescent="0.25">
      <c r="A3" s="5">
        <v>22787</v>
      </c>
      <c r="B3" s="8">
        <v>59.47</v>
      </c>
      <c r="C3" s="11">
        <v>23137</v>
      </c>
      <c r="D3" s="8">
        <v>70.52</v>
      </c>
      <c r="E3" s="8">
        <v>350</v>
      </c>
      <c r="F3" s="8">
        <v>18.579999999999998</v>
      </c>
      <c r="G3" s="3">
        <f t="shared" ref="G3:G25" si="0">(D3/B3)^(7/E3)-1</f>
        <v>3.4143029751356746E-3</v>
      </c>
    </row>
    <row r="4" spans="1:9" ht="17" thickBot="1" x14ac:dyDescent="0.25">
      <c r="A4" s="6">
        <v>22794</v>
      </c>
      <c r="B4" s="9">
        <v>59.38</v>
      </c>
      <c r="C4" s="12">
        <v>23137</v>
      </c>
      <c r="D4" s="9">
        <v>70.52</v>
      </c>
      <c r="E4" s="9">
        <v>343</v>
      </c>
      <c r="F4" s="9">
        <v>18.760000000000002</v>
      </c>
      <c r="G4" s="3">
        <f t="shared" si="0"/>
        <v>3.5151204983454587E-3</v>
      </c>
    </row>
    <row r="5" spans="1:9" ht="17" thickBot="1" x14ac:dyDescent="0.25">
      <c r="A5" s="4">
        <v>22801</v>
      </c>
      <c r="B5" s="10">
        <v>58.45</v>
      </c>
      <c r="C5" s="13">
        <v>23137</v>
      </c>
      <c r="D5" s="10">
        <v>70.52</v>
      </c>
      <c r="E5" s="10">
        <v>336</v>
      </c>
      <c r="F5" s="10">
        <v>20.65</v>
      </c>
      <c r="G5" s="3">
        <f t="shared" si="0"/>
        <v>3.9185882856693777E-3</v>
      </c>
    </row>
    <row r="6" spans="1:9" ht="17" thickBot="1" x14ac:dyDescent="0.25">
      <c r="A6" s="6">
        <v>22808</v>
      </c>
      <c r="B6" s="9">
        <v>55.89</v>
      </c>
      <c r="C6" s="12">
        <v>23137</v>
      </c>
      <c r="D6" s="9">
        <v>70.52</v>
      </c>
      <c r="E6" s="9">
        <v>329</v>
      </c>
      <c r="F6" s="9">
        <v>26.18</v>
      </c>
      <c r="G6" s="3">
        <f t="shared" si="0"/>
        <v>4.9592968965141981E-3</v>
      </c>
    </row>
    <row r="7" spans="1:9" ht="17" thickBot="1" x14ac:dyDescent="0.25">
      <c r="A7" s="4">
        <v>22815</v>
      </c>
      <c r="B7" s="10">
        <v>52.68</v>
      </c>
      <c r="C7" s="13">
        <v>23137</v>
      </c>
      <c r="D7" s="10">
        <v>70.52</v>
      </c>
      <c r="E7" s="10">
        <v>322</v>
      </c>
      <c r="F7" s="10">
        <v>33.86</v>
      </c>
      <c r="G7" s="3">
        <f t="shared" si="0"/>
        <v>6.3605884042132743E-3</v>
      </c>
    </row>
    <row r="8" spans="1:9" ht="17" thickBot="1" x14ac:dyDescent="0.25">
      <c r="A8" s="6">
        <v>22822</v>
      </c>
      <c r="B8" s="9">
        <v>54.75</v>
      </c>
      <c r="C8" s="12">
        <v>23137</v>
      </c>
      <c r="D8" s="9">
        <v>70.52</v>
      </c>
      <c r="E8" s="9">
        <v>315</v>
      </c>
      <c r="F8" s="9">
        <v>28.8</v>
      </c>
      <c r="G8" s="3">
        <f t="shared" si="0"/>
        <v>5.6407156823548021E-3</v>
      </c>
    </row>
    <row r="9" spans="1:9" ht="17" thickBot="1" x14ac:dyDescent="0.25">
      <c r="A9" s="4">
        <v>24341</v>
      </c>
      <c r="B9" s="10">
        <v>76.41</v>
      </c>
      <c r="C9" s="13">
        <v>25951</v>
      </c>
      <c r="D9" s="10">
        <v>94.88</v>
      </c>
      <c r="E9" s="10">
        <v>1610</v>
      </c>
      <c r="F9" s="10">
        <v>24.17</v>
      </c>
      <c r="G9" s="3">
        <f t="shared" si="0"/>
        <v>9.4174471808661231E-4</v>
      </c>
    </row>
    <row r="10" spans="1:9" ht="17" thickBot="1" x14ac:dyDescent="0.25">
      <c r="A10" s="6">
        <v>24355</v>
      </c>
      <c r="B10" s="9">
        <v>76.290000000000006</v>
      </c>
      <c r="C10" s="12">
        <v>25951</v>
      </c>
      <c r="D10" s="9">
        <v>94.88</v>
      </c>
      <c r="E10" s="9">
        <v>1596</v>
      </c>
      <c r="F10" s="9">
        <v>24.37</v>
      </c>
      <c r="G10" s="3">
        <f t="shared" si="0"/>
        <v>9.5690959501459893E-4</v>
      </c>
    </row>
    <row r="11" spans="1:9" ht="17" thickBot="1" x14ac:dyDescent="0.25">
      <c r="A11" s="4">
        <v>25699</v>
      </c>
      <c r="B11" s="10">
        <v>76.900000000000006</v>
      </c>
      <c r="C11" s="13">
        <v>25951</v>
      </c>
      <c r="D11" s="10">
        <v>94.88</v>
      </c>
      <c r="E11" s="10">
        <v>252</v>
      </c>
      <c r="F11" s="10">
        <v>23.38</v>
      </c>
      <c r="G11" s="3">
        <f t="shared" si="0"/>
        <v>5.8533716095376942E-3</v>
      </c>
    </row>
    <row r="12" spans="1:9" ht="17" thickBot="1" x14ac:dyDescent="0.25">
      <c r="A12" s="6">
        <v>25706</v>
      </c>
      <c r="B12" s="9">
        <v>72.25</v>
      </c>
      <c r="C12" s="12">
        <v>25951</v>
      </c>
      <c r="D12" s="9">
        <v>94.88</v>
      </c>
      <c r="E12" s="9">
        <v>245</v>
      </c>
      <c r="F12" s="9">
        <v>31.32</v>
      </c>
      <c r="G12" s="3">
        <f t="shared" si="0"/>
        <v>7.8155433905904292E-3</v>
      </c>
    </row>
    <row r="13" spans="1:9" ht="17" thickBot="1" x14ac:dyDescent="0.25">
      <c r="A13" s="4">
        <v>27260</v>
      </c>
      <c r="B13" s="10">
        <v>71.55</v>
      </c>
      <c r="C13" s="13">
        <v>30431</v>
      </c>
      <c r="D13" s="10">
        <v>164.43</v>
      </c>
      <c r="E13" s="10">
        <v>3171</v>
      </c>
      <c r="F13" s="10">
        <v>129.81</v>
      </c>
      <c r="G13" s="3">
        <f t="shared" si="0"/>
        <v>1.8385278508648017E-3</v>
      </c>
    </row>
    <row r="14" spans="1:9" ht="17" thickBot="1" x14ac:dyDescent="0.25">
      <c r="A14" s="6">
        <v>27281</v>
      </c>
      <c r="B14" s="9">
        <v>65.2</v>
      </c>
      <c r="C14" s="12">
        <v>30431</v>
      </c>
      <c r="D14" s="9">
        <v>164.43</v>
      </c>
      <c r="E14" s="9">
        <v>3150</v>
      </c>
      <c r="F14" s="9">
        <v>152.19</v>
      </c>
      <c r="G14" s="3">
        <f t="shared" si="0"/>
        <v>2.0577263942271884E-3</v>
      </c>
    </row>
    <row r="15" spans="1:9" ht="17" thickBot="1" x14ac:dyDescent="0.25">
      <c r="A15" s="4">
        <v>32111</v>
      </c>
      <c r="B15" s="10">
        <v>223.87</v>
      </c>
      <c r="C15" s="13">
        <v>32643</v>
      </c>
      <c r="D15" s="10">
        <v>321.24</v>
      </c>
      <c r="E15" s="10">
        <v>532</v>
      </c>
      <c r="F15" s="10">
        <v>43.49</v>
      </c>
      <c r="G15" s="3">
        <f t="shared" si="0"/>
        <v>4.7629250112388721E-3</v>
      </c>
    </row>
    <row r="16" spans="1:9" ht="17" thickBot="1" x14ac:dyDescent="0.25">
      <c r="A16" s="6">
        <v>37151</v>
      </c>
      <c r="B16" s="9">
        <v>965.8</v>
      </c>
      <c r="C16" s="12">
        <v>37998</v>
      </c>
      <c r="D16" s="9">
        <v>1139.83</v>
      </c>
      <c r="E16" s="9">
        <v>847</v>
      </c>
      <c r="F16" s="9">
        <v>18.02</v>
      </c>
      <c r="G16" s="3">
        <f t="shared" si="0"/>
        <v>1.3701744772953717E-3</v>
      </c>
    </row>
    <row r="17" spans="1:7" ht="17" thickBot="1" x14ac:dyDescent="0.25">
      <c r="A17" s="4">
        <v>37452</v>
      </c>
      <c r="B17" s="10">
        <v>847.75</v>
      </c>
      <c r="C17" s="13">
        <v>37998</v>
      </c>
      <c r="D17" s="10">
        <v>1139.83</v>
      </c>
      <c r="E17" s="10">
        <v>546</v>
      </c>
      <c r="F17" s="10">
        <v>34.450000000000003</v>
      </c>
      <c r="G17" s="3">
        <f t="shared" si="0"/>
        <v>3.8027072244217752E-3</v>
      </c>
    </row>
    <row r="18" spans="1:7" ht="17" thickBot="1" x14ac:dyDescent="0.25">
      <c r="A18" s="6">
        <v>37459</v>
      </c>
      <c r="B18" s="9">
        <v>852.84</v>
      </c>
      <c r="C18" s="12">
        <v>37998</v>
      </c>
      <c r="D18" s="9">
        <v>1139.83</v>
      </c>
      <c r="E18" s="9">
        <v>539</v>
      </c>
      <c r="F18" s="9">
        <v>33.65</v>
      </c>
      <c r="G18" s="3">
        <f t="shared" si="0"/>
        <v>3.7741490472107397E-3</v>
      </c>
    </row>
    <row r="19" spans="1:7" ht="17" thickBot="1" x14ac:dyDescent="0.25">
      <c r="A19" s="4">
        <v>37466</v>
      </c>
      <c r="B19" s="10">
        <v>864.24</v>
      </c>
      <c r="C19" s="13">
        <v>37998</v>
      </c>
      <c r="D19" s="10">
        <v>1139.83</v>
      </c>
      <c r="E19" s="10">
        <v>532</v>
      </c>
      <c r="F19" s="10">
        <v>31.89</v>
      </c>
      <c r="G19" s="3">
        <f t="shared" si="0"/>
        <v>3.6485331656486153E-3</v>
      </c>
    </row>
    <row r="20" spans="1:7" ht="17" thickBot="1" x14ac:dyDescent="0.25">
      <c r="A20" s="6">
        <v>39720</v>
      </c>
      <c r="B20" s="9">
        <v>1099.23</v>
      </c>
      <c r="C20" s="12">
        <v>40588</v>
      </c>
      <c r="D20" s="9">
        <v>1343.01</v>
      </c>
      <c r="E20" s="9">
        <v>868</v>
      </c>
      <c r="F20" s="9">
        <v>22.18</v>
      </c>
      <c r="G20" s="3">
        <f t="shared" si="0"/>
        <v>1.6166556135541743E-3</v>
      </c>
    </row>
    <row r="21" spans="1:7" ht="17" thickBot="1" x14ac:dyDescent="0.25">
      <c r="A21" s="4">
        <v>39727</v>
      </c>
      <c r="B21" s="10">
        <v>899.22</v>
      </c>
      <c r="C21" s="13">
        <v>40588</v>
      </c>
      <c r="D21" s="10">
        <v>1343.01</v>
      </c>
      <c r="E21" s="10">
        <v>861</v>
      </c>
      <c r="F21" s="10">
        <v>49.35</v>
      </c>
      <c r="G21" s="3">
        <f t="shared" si="0"/>
        <v>3.2666321578440627E-3</v>
      </c>
    </row>
    <row r="22" spans="1:7" ht="17" thickBot="1" x14ac:dyDescent="0.25">
      <c r="A22" s="6">
        <v>39734</v>
      </c>
      <c r="B22" s="9">
        <v>940.55</v>
      </c>
      <c r="C22" s="12">
        <v>40588</v>
      </c>
      <c r="D22" s="9">
        <v>1343.01</v>
      </c>
      <c r="E22" s="9">
        <v>854</v>
      </c>
      <c r="F22" s="9">
        <v>42.79</v>
      </c>
      <c r="G22" s="3">
        <f t="shared" si="0"/>
        <v>2.9239700264247492E-3</v>
      </c>
    </row>
    <row r="23" spans="1:7" ht="17" thickBot="1" x14ac:dyDescent="0.25">
      <c r="A23" s="4">
        <v>39741</v>
      </c>
      <c r="B23" s="10">
        <v>876.77</v>
      </c>
      <c r="C23" s="13">
        <v>40588</v>
      </c>
      <c r="D23" s="10">
        <v>1343.01</v>
      </c>
      <c r="E23" s="10">
        <v>847</v>
      </c>
      <c r="F23" s="10">
        <v>53.18</v>
      </c>
      <c r="G23" s="3">
        <f t="shared" si="0"/>
        <v>3.5303819819436644E-3</v>
      </c>
    </row>
    <row r="24" spans="1:7" ht="17" thickBot="1" x14ac:dyDescent="0.25">
      <c r="A24" s="6">
        <v>39769</v>
      </c>
      <c r="B24" s="9">
        <v>800.03</v>
      </c>
      <c r="C24" s="12">
        <v>40588</v>
      </c>
      <c r="D24" s="9">
        <v>1343.01</v>
      </c>
      <c r="E24" s="9">
        <v>819</v>
      </c>
      <c r="F24" s="9">
        <v>67.87</v>
      </c>
      <c r="G24" s="3">
        <f t="shared" si="0"/>
        <v>4.4373323041968504E-3</v>
      </c>
    </row>
    <row r="25" spans="1:7" ht="17" thickBot="1" x14ac:dyDescent="0.25">
      <c r="A25" s="4">
        <v>43906</v>
      </c>
      <c r="B25" s="10">
        <v>2304.92</v>
      </c>
      <c r="C25" s="13">
        <v>45342</v>
      </c>
      <c r="D25" s="10">
        <v>5088.79</v>
      </c>
      <c r="E25" s="10">
        <v>1436</v>
      </c>
      <c r="F25" s="10">
        <v>120.78</v>
      </c>
      <c r="G25" s="3">
        <f t="shared" si="0"/>
        <v>3.8681576197852063E-3</v>
      </c>
    </row>
    <row r="27" spans="1:7" x14ac:dyDescent="0.2">
      <c r="G27" s="3" cm="1">
        <f t="array" ref="G27">GEOMEAN(1+G2:G25)-1</f>
        <v>3.6690798248000256E-3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2026-03-19T07:24:37Z</dcterms:modified>
</cp:coreProperties>
</file>