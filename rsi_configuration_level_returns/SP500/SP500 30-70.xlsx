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temmabrouk/Documents/P Files /Publications/TE2026/Data/5. Geometric Mean/S&amp;P500/"/>
    </mc:Choice>
  </mc:AlternateContent>
  <xr:revisionPtr revIDLastSave="0" documentId="13_ncr:1_{DFC3A556-6037-454A-BFF6-60C7EF59C3B3}" xr6:coauthVersionLast="47" xr6:coauthVersionMax="47" xr10:uidLastSave="{00000000-0000-0000-0000-000000000000}"/>
  <bookViews>
    <workbookView xWindow="0" yWindow="500" windowWidth="28800" windowHeight="16280" xr2:uid="{0B5DF638-97F6-6A46-94CC-8921B7B73F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" i="1"/>
  <c r="G67" i="1" s="1" a="1"/>
  <c r="G6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<sst xmlns="http://schemas.openxmlformats.org/spreadsheetml/2006/main" count="7" uniqueCount="7">
  <si>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Buy Date</t>
  </si>
  <si>
    <t>Buy Price in USD</t>
  </si>
  <si>
    <t>Sell Date</t>
  </si>
  <si>
    <t>Sell Price in USD</t>
  </si>
  <si>
    <t>Profit/Loss (%)</t>
  </si>
  <si>
    <t>Holding Period (days)</t>
  </si>
  <si>
    <t>(%) by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</si>
</sst>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/>
    <xf numFmtId="14" fontId="3" fillId="0" borderId="1" xfId="0" applyNumberFormat="1" applyFont="1" applyBorder="1" applyAlignment="1">
      <alignment vertical="center" wrapText="1"/>
    </xf>
    <xf numFmtId="14" fontId="3" fillId="0" borderId="2" xfId="0" applyNumberFormat="1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14" fontId="4" fillId="0" borderId="2" xfId="0" applyNumberFormat="1" applyFont="1" applyBorder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D1AF8-849D-A740-9C32-C1D56B326AE9}">
  <dimension ref="A1:I67"/>
  <sheetViews>
    <sheetView tabSelected="1" topLeftCell="A60" zoomScale="160" zoomScaleNormal="156" workbookViewId="0">
      <selection activeCell="G67" sqref="G67"/>
    </sheetView>
  </sheetViews>
  <sheetFormatPr baseColWidth="10" defaultRowHeight="16" x14ac:dyDescent="0.2"/>
  <cols>
    <col min="3" max="3" width="13.33203125" customWidth="1"/>
  </cols>
  <sheetData>
    <row r="1" spans="1:9" ht="29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4</v>
      </c>
      <c r="G1" s="2" t="s">
        <v>6</v>
      </c>
      <c r="I1" s="2"/>
    </row>
    <row r="2" spans="1:9" ht="17" thickBot="1" x14ac:dyDescent="0.25">
      <c r="A2" s="4">
        <v>21100</v>
      </c>
      <c r="B2" s="7">
        <v>40.94</v>
      </c>
      <c r="C2" s="4">
        <v>21387</v>
      </c>
      <c r="D2" s="7">
        <v>46.97</v>
      </c>
      <c r="E2" s="7">
        <v>287</v>
      </c>
      <c r="F2" s="7">
        <v>14.73</v>
      </c>
      <c r="G2" s="3">
        <f>(D2/B2)^(7/E2)-1</f>
        <v>3.3568783191715301E-3</v>
      </c>
    </row>
    <row r="3" spans="1:9" ht="17" thickBot="1" x14ac:dyDescent="0.25">
      <c r="A3" s="5">
        <v>21107</v>
      </c>
      <c r="B3" s="8">
        <v>40.33</v>
      </c>
      <c r="C3" s="11">
        <v>21387</v>
      </c>
      <c r="D3" s="8">
        <v>46.97</v>
      </c>
      <c r="E3" s="8">
        <v>280</v>
      </c>
      <c r="F3" s="8">
        <v>16.46</v>
      </c>
      <c r="G3" s="3">
        <f t="shared" ref="G3:G65" si="0">(D3/B3)^(7/E3)-1</f>
        <v>3.8176058428913695E-3</v>
      </c>
    </row>
    <row r="4" spans="1:9" ht="17" thickBot="1" x14ac:dyDescent="0.25">
      <c r="A4" s="6">
        <v>21114</v>
      </c>
      <c r="B4" s="9">
        <v>40.590000000000003</v>
      </c>
      <c r="C4" s="12">
        <v>21387</v>
      </c>
      <c r="D4" s="9">
        <v>46.97</v>
      </c>
      <c r="E4" s="9">
        <v>273</v>
      </c>
      <c r="F4" s="9">
        <v>15.72</v>
      </c>
      <c r="G4" s="3">
        <f t="shared" si="0"/>
        <v>3.7502806463143301E-3</v>
      </c>
    </row>
    <row r="5" spans="1:9" ht="17" thickBot="1" x14ac:dyDescent="0.25">
      <c r="A5" s="4">
        <v>21121</v>
      </c>
      <c r="B5" s="10">
        <v>40.44</v>
      </c>
      <c r="C5" s="13">
        <v>21387</v>
      </c>
      <c r="D5" s="10">
        <v>46.97</v>
      </c>
      <c r="E5" s="10">
        <v>266</v>
      </c>
      <c r="F5" s="10">
        <v>16.149999999999999</v>
      </c>
      <c r="G5" s="3">
        <f t="shared" si="0"/>
        <v>3.9469716434716862E-3</v>
      </c>
    </row>
    <row r="6" spans="1:9" ht="17" thickBot="1" x14ac:dyDescent="0.25">
      <c r="A6" s="6">
        <v>21128</v>
      </c>
      <c r="B6" s="9">
        <v>40.19</v>
      </c>
      <c r="C6" s="12">
        <v>21387</v>
      </c>
      <c r="D6" s="9">
        <v>46.97</v>
      </c>
      <c r="E6" s="9">
        <v>259</v>
      </c>
      <c r="F6" s="9">
        <v>16.87</v>
      </c>
      <c r="G6" s="3">
        <f t="shared" si="0"/>
        <v>4.2221556293082774E-3</v>
      </c>
    </row>
    <row r="7" spans="1:9" ht="17" thickBot="1" x14ac:dyDescent="0.25">
      <c r="A7" s="4">
        <v>21135</v>
      </c>
      <c r="B7" s="10">
        <v>40.369999999999997</v>
      </c>
      <c r="C7" s="13">
        <v>21387</v>
      </c>
      <c r="D7" s="10">
        <v>46.97</v>
      </c>
      <c r="E7" s="10">
        <v>252</v>
      </c>
      <c r="F7" s="10">
        <v>16.350000000000001</v>
      </c>
      <c r="G7" s="3">
        <f t="shared" si="0"/>
        <v>4.2150296087106742E-3</v>
      </c>
    </row>
    <row r="8" spans="1:9" ht="17" thickBot="1" x14ac:dyDescent="0.25">
      <c r="A8" s="6">
        <v>21170</v>
      </c>
      <c r="B8" s="9">
        <v>39.479999999999997</v>
      </c>
      <c r="C8" s="12">
        <v>21387</v>
      </c>
      <c r="D8" s="9">
        <v>46.97</v>
      </c>
      <c r="E8" s="9">
        <v>217</v>
      </c>
      <c r="F8" s="9">
        <v>18.97</v>
      </c>
      <c r="G8" s="3">
        <f t="shared" si="0"/>
        <v>5.6194361120054381E-3</v>
      </c>
    </row>
    <row r="9" spans="1:9" ht="17" thickBot="1" x14ac:dyDescent="0.25">
      <c r="A9" s="4">
        <v>22773</v>
      </c>
      <c r="B9" s="10">
        <v>62.65</v>
      </c>
      <c r="C9" s="13">
        <v>23109</v>
      </c>
      <c r="D9" s="10">
        <v>68.77</v>
      </c>
      <c r="E9" s="10">
        <v>336</v>
      </c>
      <c r="F9" s="10">
        <v>9.77</v>
      </c>
      <c r="G9" s="3">
        <f t="shared" si="0"/>
        <v>1.943634788943216E-3</v>
      </c>
    </row>
    <row r="10" spans="1:9" ht="17" thickBot="1" x14ac:dyDescent="0.25">
      <c r="A10" s="6">
        <v>22787</v>
      </c>
      <c r="B10" s="9">
        <v>59.47</v>
      </c>
      <c r="C10" s="12">
        <v>23109</v>
      </c>
      <c r="D10" s="9">
        <v>68.77</v>
      </c>
      <c r="E10" s="9">
        <v>322</v>
      </c>
      <c r="F10" s="9">
        <v>15.64</v>
      </c>
      <c r="G10" s="3">
        <f t="shared" si="0"/>
        <v>3.1635940609495705E-3</v>
      </c>
    </row>
    <row r="11" spans="1:9" ht="17" thickBot="1" x14ac:dyDescent="0.25">
      <c r="A11" s="4">
        <v>22794</v>
      </c>
      <c r="B11" s="10">
        <v>59.38</v>
      </c>
      <c r="C11" s="13">
        <v>23109</v>
      </c>
      <c r="D11" s="10">
        <v>68.77</v>
      </c>
      <c r="E11" s="10">
        <v>315</v>
      </c>
      <c r="F11" s="10">
        <v>15.81</v>
      </c>
      <c r="G11" s="3">
        <f t="shared" si="0"/>
        <v>3.267774995794781E-3</v>
      </c>
    </row>
    <row r="12" spans="1:9" ht="17" thickBot="1" x14ac:dyDescent="0.25">
      <c r="A12" s="6">
        <v>22801</v>
      </c>
      <c r="B12" s="9">
        <v>58.45</v>
      </c>
      <c r="C12" s="12">
        <v>23109</v>
      </c>
      <c r="D12" s="9">
        <v>68.77</v>
      </c>
      <c r="E12" s="9">
        <v>308</v>
      </c>
      <c r="F12" s="9">
        <v>17.66</v>
      </c>
      <c r="G12" s="3">
        <f t="shared" si="0"/>
        <v>3.7021979812785766E-3</v>
      </c>
    </row>
    <row r="13" spans="1:9" ht="17" thickBot="1" x14ac:dyDescent="0.25">
      <c r="A13" s="4">
        <v>22808</v>
      </c>
      <c r="B13" s="10">
        <v>55.89</v>
      </c>
      <c r="C13" s="13">
        <v>23109</v>
      </c>
      <c r="D13" s="10">
        <v>68.77</v>
      </c>
      <c r="E13" s="10">
        <v>301</v>
      </c>
      <c r="F13" s="10">
        <v>23.05</v>
      </c>
      <c r="G13" s="3">
        <f t="shared" si="0"/>
        <v>4.8344888466218539E-3</v>
      </c>
    </row>
    <row r="14" spans="1:9" ht="17" thickBot="1" x14ac:dyDescent="0.25">
      <c r="A14" s="6">
        <v>22815</v>
      </c>
      <c r="B14" s="9">
        <v>52.68</v>
      </c>
      <c r="C14" s="12">
        <v>23109</v>
      </c>
      <c r="D14" s="9">
        <v>68.77</v>
      </c>
      <c r="E14" s="9">
        <v>294</v>
      </c>
      <c r="F14" s="9">
        <v>30.54</v>
      </c>
      <c r="G14" s="3">
        <f t="shared" si="0"/>
        <v>6.3661719653138604E-3</v>
      </c>
    </row>
    <row r="15" spans="1:9" ht="17" thickBot="1" x14ac:dyDescent="0.25">
      <c r="A15" s="4">
        <v>22822</v>
      </c>
      <c r="B15" s="10">
        <v>54.75</v>
      </c>
      <c r="C15" s="13">
        <v>23109</v>
      </c>
      <c r="D15" s="10">
        <v>68.77</v>
      </c>
      <c r="E15" s="10">
        <v>287</v>
      </c>
      <c r="F15" s="10">
        <v>25.61</v>
      </c>
      <c r="G15" s="3">
        <f t="shared" si="0"/>
        <v>5.5762270283954418E-3</v>
      </c>
    </row>
    <row r="16" spans="1:9" ht="17" thickBot="1" x14ac:dyDescent="0.25">
      <c r="A16" s="6">
        <v>22829</v>
      </c>
      <c r="B16" s="9">
        <v>56.17</v>
      </c>
      <c r="C16" s="12">
        <v>23109</v>
      </c>
      <c r="D16" s="9">
        <v>68.77</v>
      </c>
      <c r="E16" s="9">
        <v>280</v>
      </c>
      <c r="F16" s="9">
        <v>22.43</v>
      </c>
      <c r="G16" s="3">
        <f t="shared" si="0"/>
        <v>5.0724414113887395E-3</v>
      </c>
    </row>
    <row r="17" spans="1:7" ht="17" thickBot="1" x14ac:dyDescent="0.25">
      <c r="A17" s="4">
        <v>24334</v>
      </c>
      <c r="B17" s="10">
        <v>79.62</v>
      </c>
      <c r="C17" s="13">
        <v>24551</v>
      </c>
      <c r="D17" s="10">
        <v>90.94</v>
      </c>
      <c r="E17" s="10">
        <v>217</v>
      </c>
      <c r="F17" s="10">
        <v>14.22</v>
      </c>
      <c r="G17" s="3">
        <f t="shared" si="0"/>
        <v>4.2974214433904034E-3</v>
      </c>
    </row>
    <row r="18" spans="1:7" ht="17" thickBot="1" x14ac:dyDescent="0.25">
      <c r="A18" s="6">
        <v>24341</v>
      </c>
      <c r="B18" s="9">
        <v>76.41</v>
      </c>
      <c r="C18" s="12">
        <v>24551</v>
      </c>
      <c r="D18" s="9">
        <v>90.94</v>
      </c>
      <c r="E18" s="9">
        <v>210</v>
      </c>
      <c r="F18" s="9">
        <v>19.02</v>
      </c>
      <c r="G18" s="3">
        <f t="shared" si="0"/>
        <v>5.819748341483244E-3</v>
      </c>
    </row>
    <row r="19" spans="1:7" ht="17" thickBot="1" x14ac:dyDescent="0.25">
      <c r="A19" s="4">
        <v>24348</v>
      </c>
      <c r="B19" s="10">
        <v>77.42</v>
      </c>
      <c r="C19" s="13">
        <v>24551</v>
      </c>
      <c r="D19" s="10">
        <v>90.94</v>
      </c>
      <c r="E19" s="10">
        <v>203</v>
      </c>
      <c r="F19" s="10">
        <v>17.46</v>
      </c>
      <c r="G19" s="3">
        <f t="shared" si="0"/>
        <v>5.5655963329204194E-3</v>
      </c>
    </row>
    <row r="20" spans="1:7" ht="17" thickBot="1" x14ac:dyDescent="0.25">
      <c r="A20" s="6">
        <v>24355</v>
      </c>
      <c r="B20" s="9">
        <v>76.290000000000006</v>
      </c>
      <c r="C20" s="12">
        <v>24551</v>
      </c>
      <c r="D20" s="9">
        <v>90.94</v>
      </c>
      <c r="E20" s="9">
        <v>196</v>
      </c>
      <c r="F20" s="9">
        <v>19.2</v>
      </c>
      <c r="G20" s="3">
        <f t="shared" si="0"/>
        <v>6.2932225022780397E-3</v>
      </c>
    </row>
    <row r="21" spans="1:7" ht="17" thickBot="1" x14ac:dyDescent="0.25">
      <c r="A21" s="4">
        <v>24383</v>
      </c>
      <c r="B21" s="10">
        <v>73.2</v>
      </c>
      <c r="C21" s="13">
        <v>24551</v>
      </c>
      <c r="D21" s="10">
        <v>90.94</v>
      </c>
      <c r="E21" s="10">
        <v>168</v>
      </c>
      <c r="F21" s="10">
        <v>24.23</v>
      </c>
      <c r="G21" s="3">
        <f t="shared" si="0"/>
        <v>9.0828563653222449E-3</v>
      </c>
    </row>
    <row r="22" spans="1:7" ht="17" thickBot="1" x14ac:dyDescent="0.25">
      <c r="A22" s="6">
        <v>25594</v>
      </c>
      <c r="B22" s="9">
        <v>85.02</v>
      </c>
      <c r="C22" s="12">
        <v>25930</v>
      </c>
      <c r="D22" s="9">
        <v>92.15</v>
      </c>
      <c r="E22" s="9">
        <v>336</v>
      </c>
      <c r="F22" s="9">
        <v>8.39</v>
      </c>
      <c r="G22" s="3">
        <f t="shared" si="0"/>
        <v>1.679140705310278E-3</v>
      </c>
    </row>
    <row r="23" spans="1:7" ht="17" thickBot="1" x14ac:dyDescent="0.25">
      <c r="A23" s="4">
        <v>25685</v>
      </c>
      <c r="B23" s="10">
        <v>81.44</v>
      </c>
      <c r="C23" s="13">
        <v>25930</v>
      </c>
      <c r="D23" s="10">
        <v>92.15</v>
      </c>
      <c r="E23" s="10">
        <v>245</v>
      </c>
      <c r="F23" s="10">
        <v>13.15</v>
      </c>
      <c r="G23" s="3">
        <f t="shared" si="0"/>
        <v>3.5362702251866551E-3</v>
      </c>
    </row>
    <row r="24" spans="1:7" ht="17" thickBot="1" x14ac:dyDescent="0.25">
      <c r="A24" s="6">
        <v>25692</v>
      </c>
      <c r="B24" s="9">
        <v>79.44</v>
      </c>
      <c r="C24" s="12">
        <v>25930</v>
      </c>
      <c r="D24" s="9">
        <v>92.15</v>
      </c>
      <c r="E24" s="9">
        <v>238</v>
      </c>
      <c r="F24" s="9">
        <v>16</v>
      </c>
      <c r="G24" s="3">
        <f t="shared" si="0"/>
        <v>4.3747078170499609E-3</v>
      </c>
    </row>
    <row r="25" spans="1:7" ht="17" thickBot="1" x14ac:dyDescent="0.25">
      <c r="A25" s="4">
        <v>25699</v>
      </c>
      <c r="B25" s="10">
        <v>76.900000000000006</v>
      </c>
      <c r="C25" s="13">
        <v>25930</v>
      </c>
      <c r="D25" s="10">
        <v>92.15</v>
      </c>
      <c r="E25" s="10">
        <v>231</v>
      </c>
      <c r="F25" s="10">
        <v>19.829999999999998</v>
      </c>
      <c r="G25" s="3">
        <f t="shared" si="0"/>
        <v>5.49723061291707E-3</v>
      </c>
    </row>
    <row r="26" spans="1:7" ht="17" thickBot="1" x14ac:dyDescent="0.25">
      <c r="A26" s="6">
        <v>25706</v>
      </c>
      <c r="B26" s="9">
        <v>72.25</v>
      </c>
      <c r="C26" s="12">
        <v>25930</v>
      </c>
      <c r="D26" s="9">
        <v>92.15</v>
      </c>
      <c r="E26" s="9">
        <v>224</v>
      </c>
      <c r="F26" s="9">
        <v>27.54</v>
      </c>
      <c r="G26" s="3">
        <f t="shared" si="0"/>
        <v>7.6316410651218192E-3</v>
      </c>
    </row>
    <row r="27" spans="1:7" ht="17" thickBot="1" x14ac:dyDescent="0.25">
      <c r="A27" s="4">
        <v>25727</v>
      </c>
      <c r="B27" s="10">
        <v>73.88</v>
      </c>
      <c r="C27" s="13">
        <v>25930</v>
      </c>
      <c r="D27" s="10">
        <v>92.15</v>
      </c>
      <c r="E27" s="10">
        <v>203</v>
      </c>
      <c r="F27" s="10">
        <v>24.73</v>
      </c>
      <c r="G27" s="3">
        <f t="shared" si="0"/>
        <v>7.6489507233197251E-3</v>
      </c>
    </row>
    <row r="28" spans="1:7" ht="17" thickBot="1" x14ac:dyDescent="0.25">
      <c r="A28" s="6">
        <v>27239</v>
      </c>
      <c r="B28" s="9">
        <v>78.59</v>
      </c>
      <c r="C28" s="12">
        <v>27547</v>
      </c>
      <c r="D28" s="9">
        <v>92.48</v>
      </c>
      <c r="E28" s="9">
        <v>308</v>
      </c>
      <c r="F28" s="9">
        <v>17.670000000000002</v>
      </c>
      <c r="G28" s="3">
        <f t="shared" si="0"/>
        <v>3.7056658840330936E-3</v>
      </c>
    </row>
    <row r="29" spans="1:7" ht="17" thickBot="1" x14ac:dyDescent="0.25">
      <c r="A29" s="4">
        <v>27253</v>
      </c>
      <c r="B29" s="10">
        <v>75.67</v>
      </c>
      <c r="C29" s="13">
        <v>27547</v>
      </c>
      <c r="D29" s="10">
        <v>92.48</v>
      </c>
      <c r="E29" s="10">
        <v>294</v>
      </c>
      <c r="F29" s="10">
        <v>22.21</v>
      </c>
      <c r="G29" s="3">
        <f t="shared" si="0"/>
        <v>4.7878688233573552E-3</v>
      </c>
    </row>
    <row r="30" spans="1:7" ht="17" thickBot="1" x14ac:dyDescent="0.25">
      <c r="A30" s="6">
        <v>27260</v>
      </c>
      <c r="B30" s="9">
        <v>71.55</v>
      </c>
      <c r="C30" s="12">
        <v>27547</v>
      </c>
      <c r="D30" s="9">
        <v>92.48</v>
      </c>
      <c r="E30" s="9">
        <v>287</v>
      </c>
      <c r="F30" s="9">
        <v>29.25</v>
      </c>
      <c r="G30" s="3">
        <f t="shared" si="0"/>
        <v>6.2780614922510747E-3</v>
      </c>
    </row>
    <row r="31" spans="1:7" ht="17" thickBot="1" x14ac:dyDescent="0.25">
      <c r="A31" s="4">
        <v>27267</v>
      </c>
      <c r="B31" s="10">
        <v>72.150000000000006</v>
      </c>
      <c r="C31" s="13">
        <v>27547</v>
      </c>
      <c r="D31" s="10">
        <v>92.48</v>
      </c>
      <c r="E31" s="10">
        <v>280</v>
      </c>
      <c r="F31" s="10">
        <v>28.18</v>
      </c>
      <c r="G31" s="3">
        <f t="shared" si="0"/>
        <v>6.2254259060534611E-3</v>
      </c>
    </row>
    <row r="32" spans="1:7" ht="17" thickBot="1" x14ac:dyDescent="0.25">
      <c r="A32" s="6">
        <v>27274</v>
      </c>
      <c r="B32" s="9">
        <v>71.42</v>
      </c>
      <c r="C32" s="12">
        <v>27547</v>
      </c>
      <c r="D32" s="9">
        <v>92.48</v>
      </c>
      <c r="E32" s="9">
        <v>273</v>
      </c>
      <c r="F32" s="9">
        <v>29.49</v>
      </c>
      <c r="G32" s="3">
        <f t="shared" si="0"/>
        <v>6.6480124474010971E-3</v>
      </c>
    </row>
    <row r="33" spans="1:7" ht="17" thickBot="1" x14ac:dyDescent="0.25">
      <c r="A33" s="4">
        <v>27281</v>
      </c>
      <c r="B33" s="10">
        <v>65.2</v>
      </c>
      <c r="C33" s="13">
        <v>27547</v>
      </c>
      <c r="D33" s="10">
        <v>92.48</v>
      </c>
      <c r="E33" s="10">
        <v>266</v>
      </c>
      <c r="F33" s="10">
        <v>41.84</v>
      </c>
      <c r="G33" s="3">
        <f t="shared" si="0"/>
        <v>9.2406689281550047E-3</v>
      </c>
    </row>
    <row r="34" spans="1:7" ht="17" thickBot="1" x14ac:dyDescent="0.25">
      <c r="A34" s="6">
        <v>27295</v>
      </c>
      <c r="B34" s="9">
        <v>64.94</v>
      </c>
      <c r="C34" s="12">
        <v>27547</v>
      </c>
      <c r="D34" s="9">
        <v>92.48</v>
      </c>
      <c r="E34" s="9">
        <v>252</v>
      </c>
      <c r="F34" s="9">
        <v>42.41</v>
      </c>
      <c r="G34" s="3">
        <f t="shared" si="0"/>
        <v>9.8686167352541876E-3</v>
      </c>
    </row>
    <row r="35" spans="1:7" ht="17" thickBot="1" x14ac:dyDescent="0.25">
      <c r="A35" s="4">
        <v>27302</v>
      </c>
      <c r="B35" s="10">
        <v>62.34</v>
      </c>
      <c r="C35" s="13">
        <v>27547</v>
      </c>
      <c r="D35" s="10">
        <v>92.48</v>
      </c>
      <c r="E35" s="10">
        <v>245</v>
      </c>
      <c r="F35" s="10">
        <v>48.35</v>
      </c>
      <c r="G35" s="3">
        <f t="shared" si="0"/>
        <v>1.1331986860829479E-2</v>
      </c>
    </row>
    <row r="36" spans="1:7" ht="17" thickBot="1" x14ac:dyDescent="0.25">
      <c r="A36" s="6">
        <v>29850</v>
      </c>
      <c r="B36" s="9">
        <v>112.77</v>
      </c>
      <c r="C36" s="12">
        <v>30235</v>
      </c>
      <c r="D36" s="9">
        <v>133.57</v>
      </c>
      <c r="E36" s="9">
        <v>385</v>
      </c>
      <c r="F36" s="9">
        <v>18.440000000000001</v>
      </c>
      <c r="G36" s="3">
        <f t="shared" si="0"/>
        <v>3.0824745159456768E-3</v>
      </c>
    </row>
    <row r="37" spans="1:7" ht="17" thickBot="1" x14ac:dyDescent="0.25">
      <c r="A37" s="4">
        <v>32069</v>
      </c>
      <c r="B37" s="10">
        <v>248.22</v>
      </c>
      <c r="C37" s="13">
        <v>32538</v>
      </c>
      <c r="D37" s="10">
        <v>296.97000000000003</v>
      </c>
      <c r="E37" s="10">
        <v>469</v>
      </c>
      <c r="F37" s="10">
        <v>19.64</v>
      </c>
      <c r="G37" s="3">
        <f t="shared" si="0"/>
        <v>2.6799379725723771E-3</v>
      </c>
    </row>
    <row r="38" spans="1:7" ht="17" thickBot="1" x14ac:dyDescent="0.25">
      <c r="A38" s="6">
        <v>32090</v>
      </c>
      <c r="B38" s="9">
        <v>245.64</v>
      </c>
      <c r="C38" s="12">
        <v>32538</v>
      </c>
      <c r="D38" s="9">
        <v>296.97000000000003</v>
      </c>
      <c r="E38" s="9">
        <v>448</v>
      </c>
      <c r="F38" s="9">
        <v>20.9</v>
      </c>
      <c r="G38" s="3">
        <f t="shared" si="0"/>
        <v>2.9694638074979629E-3</v>
      </c>
    </row>
    <row r="39" spans="1:7" ht="17" thickBot="1" x14ac:dyDescent="0.25">
      <c r="A39" s="4">
        <v>32097</v>
      </c>
      <c r="B39" s="10">
        <v>242</v>
      </c>
      <c r="C39" s="13">
        <v>32538</v>
      </c>
      <c r="D39" s="10">
        <v>296.97000000000003</v>
      </c>
      <c r="E39" s="10">
        <v>441</v>
      </c>
      <c r="F39" s="10">
        <v>22.71</v>
      </c>
      <c r="G39" s="3">
        <f t="shared" si="0"/>
        <v>3.2543855984039638E-3</v>
      </c>
    </row>
    <row r="40" spans="1:7" ht="17" thickBot="1" x14ac:dyDescent="0.25">
      <c r="A40" s="6">
        <v>32104</v>
      </c>
      <c r="B40" s="9">
        <v>240.34</v>
      </c>
      <c r="C40" s="12">
        <v>32538</v>
      </c>
      <c r="D40" s="9">
        <v>296.97000000000003</v>
      </c>
      <c r="E40" s="9">
        <v>434</v>
      </c>
      <c r="F40" s="9">
        <v>23.56</v>
      </c>
      <c r="G40" s="3">
        <f t="shared" si="0"/>
        <v>3.4183540677303892E-3</v>
      </c>
    </row>
    <row r="41" spans="1:7" ht="17" thickBot="1" x14ac:dyDescent="0.25">
      <c r="A41" s="4">
        <v>32111</v>
      </c>
      <c r="B41" s="10">
        <v>223.87</v>
      </c>
      <c r="C41" s="13">
        <v>32538</v>
      </c>
      <c r="D41" s="10">
        <v>296.97000000000003</v>
      </c>
      <c r="E41" s="10">
        <v>427</v>
      </c>
      <c r="F41" s="10">
        <v>32.65</v>
      </c>
      <c r="G41" s="3">
        <f t="shared" si="0"/>
        <v>4.642968237255074E-3</v>
      </c>
    </row>
    <row r="42" spans="1:7" ht="17" thickBot="1" x14ac:dyDescent="0.25">
      <c r="A42" s="6">
        <v>36962</v>
      </c>
      <c r="B42" s="9">
        <v>1150.56</v>
      </c>
      <c r="C42" s="12">
        <v>37977</v>
      </c>
      <c r="D42" s="9">
        <v>1095.8900000000001</v>
      </c>
      <c r="E42" s="9">
        <v>1015</v>
      </c>
      <c r="F42" s="9">
        <v>-4.75</v>
      </c>
      <c r="G42" s="3">
        <f t="shared" si="0"/>
        <v>-3.3568131432382131E-4</v>
      </c>
    </row>
    <row r="43" spans="1:7" ht="17" thickBot="1" x14ac:dyDescent="0.25">
      <c r="A43" s="4">
        <v>36969</v>
      </c>
      <c r="B43" s="10">
        <v>1139.9000000000001</v>
      </c>
      <c r="C43" s="13">
        <v>37977</v>
      </c>
      <c r="D43" s="10">
        <v>1095.8900000000001</v>
      </c>
      <c r="E43" s="10">
        <v>1008</v>
      </c>
      <c r="F43" s="10">
        <v>-3.86</v>
      </c>
      <c r="G43" s="3">
        <f t="shared" si="0"/>
        <v>-2.7339123801928267E-4</v>
      </c>
    </row>
    <row r="44" spans="1:7" ht="17" thickBot="1" x14ac:dyDescent="0.25">
      <c r="A44" s="6">
        <v>36976</v>
      </c>
      <c r="B44" s="9">
        <v>1160.3399999999999</v>
      </c>
      <c r="C44" s="12">
        <v>37977</v>
      </c>
      <c r="D44" s="9">
        <v>1095.8900000000001</v>
      </c>
      <c r="E44" s="9">
        <v>1001</v>
      </c>
      <c r="F44" s="9">
        <v>-5.55</v>
      </c>
      <c r="G44" s="3">
        <f t="shared" si="0"/>
        <v>-3.9954426648003416E-4</v>
      </c>
    </row>
    <row r="45" spans="1:7" ht="17" thickBot="1" x14ac:dyDescent="0.25">
      <c r="A45" s="4">
        <v>36983</v>
      </c>
      <c r="B45" s="10">
        <v>1128.42</v>
      </c>
      <c r="C45" s="13">
        <v>37977</v>
      </c>
      <c r="D45" s="10">
        <v>1095.8900000000001</v>
      </c>
      <c r="E45" s="10">
        <v>994</v>
      </c>
      <c r="F45" s="10">
        <v>-2.88</v>
      </c>
      <c r="G45" s="3">
        <f t="shared" si="0"/>
        <v>-2.0597600708860409E-4</v>
      </c>
    </row>
    <row r="46" spans="1:7" ht="17" thickBot="1" x14ac:dyDescent="0.25">
      <c r="A46" s="6">
        <v>37151</v>
      </c>
      <c r="B46" s="9">
        <v>965.8</v>
      </c>
      <c r="C46" s="12">
        <v>37977</v>
      </c>
      <c r="D46" s="9">
        <v>1095.8900000000001</v>
      </c>
      <c r="E46" s="9">
        <v>826</v>
      </c>
      <c r="F46" s="9">
        <v>13.47</v>
      </c>
      <c r="G46" s="3">
        <f t="shared" si="0"/>
        <v>1.0714661870441233E-3</v>
      </c>
    </row>
    <row r="47" spans="1:7" ht="17" thickBot="1" x14ac:dyDescent="0.25">
      <c r="A47" s="4">
        <v>37445</v>
      </c>
      <c r="B47" s="10">
        <v>921.4</v>
      </c>
      <c r="C47" s="13">
        <v>37977</v>
      </c>
      <c r="D47" s="10">
        <v>1095.8900000000001</v>
      </c>
      <c r="E47" s="10">
        <v>532</v>
      </c>
      <c r="F47" s="10">
        <v>18.940000000000001</v>
      </c>
      <c r="G47" s="3">
        <f t="shared" si="0"/>
        <v>2.2845509478481851E-3</v>
      </c>
    </row>
    <row r="48" spans="1:7" ht="17" thickBot="1" x14ac:dyDescent="0.25">
      <c r="A48" s="6">
        <v>37452</v>
      </c>
      <c r="B48" s="9">
        <v>847.75</v>
      </c>
      <c r="C48" s="12">
        <v>37977</v>
      </c>
      <c r="D48" s="9">
        <v>1095.8900000000001</v>
      </c>
      <c r="E48" s="9">
        <v>525</v>
      </c>
      <c r="F48" s="9">
        <v>29.27</v>
      </c>
      <c r="G48" s="3">
        <f t="shared" si="0"/>
        <v>3.4290165588044541E-3</v>
      </c>
    </row>
    <row r="49" spans="1:7" ht="17" thickBot="1" x14ac:dyDescent="0.25">
      <c r="A49" s="4">
        <v>37459</v>
      </c>
      <c r="B49" s="10">
        <v>852.84</v>
      </c>
      <c r="C49" s="13">
        <v>37977</v>
      </c>
      <c r="D49" s="10">
        <v>1095.8900000000001</v>
      </c>
      <c r="E49" s="10">
        <v>518</v>
      </c>
      <c r="F49" s="10">
        <v>28.5</v>
      </c>
      <c r="G49" s="3">
        <f t="shared" si="0"/>
        <v>3.394262925680902E-3</v>
      </c>
    </row>
    <row r="50" spans="1:7" ht="17" thickBot="1" x14ac:dyDescent="0.25">
      <c r="A50" s="6">
        <v>37466</v>
      </c>
      <c r="B50" s="9">
        <v>864.24</v>
      </c>
      <c r="C50" s="12">
        <v>37977</v>
      </c>
      <c r="D50" s="9">
        <v>1095.8900000000001</v>
      </c>
      <c r="E50" s="9">
        <v>511</v>
      </c>
      <c r="F50" s="9">
        <v>26.8</v>
      </c>
      <c r="G50" s="3">
        <f t="shared" si="0"/>
        <v>3.2583323345489745E-3</v>
      </c>
    </row>
    <row r="51" spans="1:7" ht="17" thickBot="1" x14ac:dyDescent="0.25">
      <c r="A51" s="4">
        <v>37515</v>
      </c>
      <c r="B51" s="10">
        <v>845.39</v>
      </c>
      <c r="C51" s="13">
        <v>37977</v>
      </c>
      <c r="D51" s="10">
        <v>1095.8900000000001</v>
      </c>
      <c r="E51" s="10">
        <v>462</v>
      </c>
      <c r="F51" s="10">
        <v>29.63</v>
      </c>
      <c r="G51" s="3">
        <f t="shared" si="0"/>
        <v>3.9399235688797329E-3</v>
      </c>
    </row>
    <row r="52" spans="1:7" ht="17" thickBot="1" x14ac:dyDescent="0.25">
      <c r="A52" s="6">
        <v>37522</v>
      </c>
      <c r="B52" s="9">
        <v>827.36</v>
      </c>
      <c r="C52" s="12">
        <v>37977</v>
      </c>
      <c r="D52" s="9">
        <v>1095.8900000000001</v>
      </c>
      <c r="E52" s="9">
        <v>455</v>
      </c>
      <c r="F52" s="9">
        <v>32.46</v>
      </c>
      <c r="G52" s="3">
        <f t="shared" si="0"/>
        <v>4.3337048232627851E-3</v>
      </c>
    </row>
    <row r="53" spans="1:7" ht="17" thickBot="1" x14ac:dyDescent="0.25">
      <c r="A53" s="4">
        <v>37529</v>
      </c>
      <c r="B53" s="10">
        <v>800.59</v>
      </c>
      <c r="C53" s="13">
        <v>37977</v>
      </c>
      <c r="D53" s="10">
        <v>1095.8900000000001</v>
      </c>
      <c r="E53" s="10">
        <v>448</v>
      </c>
      <c r="F53" s="10">
        <v>36.89</v>
      </c>
      <c r="G53" s="3">
        <f t="shared" si="0"/>
        <v>4.9178836264798242E-3</v>
      </c>
    </row>
    <row r="54" spans="1:7" ht="17" thickBot="1" x14ac:dyDescent="0.25">
      <c r="A54" s="6">
        <v>39720</v>
      </c>
      <c r="B54" s="9">
        <v>1099.23</v>
      </c>
      <c r="C54" s="12">
        <v>40273</v>
      </c>
      <c r="D54" s="9">
        <v>1194.3699999999999</v>
      </c>
      <c r="E54" s="9">
        <v>553</v>
      </c>
      <c r="F54" s="9">
        <v>8.66</v>
      </c>
      <c r="G54" s="3">
        <f t="shared" si="0"/>
        <v>1.051297986520483E-3</v>
      </c>
    </row>
    <row r="55" spans="1:7" ht="17" thickBot="1" x14ac:dyDescent="0.25">
      <c r="A55" s="4">
        <v>39727</v>
      </c>
      <c r="B55" s="10">
        <v>899.22</v>
      </c>
      <c r="C55" s="13">
        <v>40273</v>
      </c>
      <c r="D55" s="10">
        <v>1194.3699999999999</v>
      </c>
      <c r="E55" s="10">
        <v>546</v>
      </c>
      <c r="F55" s="10">
        <v>32.82</v>
      </c>
      <c r="G55" s="3">
        <f t="shared" si="0"/>
        <v>3.6456859156934751E-3</v>
      </c>
    </row>
    <row r="56" spans="1:7" ht="17" thickBot="1" x14ac:dyDescent="0.25">
      <c r="A56" s="6">
        <v>39734</v>
      </c>
      <c r="B56" s="9">
        <v>940.55</v>
      </c>
      <c r="C56" s="12">
        <v>40273</v>
      </c>
      <c r="D56" s="9">
        <v>1194.3699999999999</v>
      </c>
      <c r="E56" s="9">
        <v>539</v>
      </c>
      <c r="F56" s="9">
        <v>26.99</v>
      </c>
      <c r="G56" s="3">
        <f t="shared" si="0"/>
        <v>3.1075368305149009E-3</v>
      </c>
    </row>
    <row r="57" spans="1:7" ht="17" thickBot="1" x14ac:dyDescent="0.25">
      <c r="A57" s="4">
        <v>39741</v>
      </c>
      <c r="B57" s="10">
        <v>876.77</v>
      </c>
      <c r="C57" s="13">
        <v>40273</v>
      </c>
      <c r="D57" s="10">
        <v>1194.3699999999999</v>
      </c>
      <c r="E57" s="10">
        <v>532</v>
      </c>
      <c r="F57" s="10">
        <v>36.22</v>
      </c>
      <c r="G57" s="3">
        <f t="shared" si="0"/>
        <v>4.0757759538736504E-3</v>
      </c>
    </row>
    <row r="58" spans="1:7" ht="17" thickBot="1" x14ac:dyDescent="0.25">
      <c r="A58" s="6">
        <v>39755</v>
      </c>
      <c r="B58" s="9">
        <v>930.99</v>
      </c>
      <c r="C58" s="12">
        <v>40273</v>
      </c>
      <c r="D58" s="9">
        <v>1194.3699999999999</v>
      </c>
      <c r="E58" s="9">
        <v>518</v>
      </c>
      <c r="F58" s="9">
        <v>28.29</v>
      </c>
      <c r="G58" s="3">
        <f t="shared" si="0"/>
        <v>3.3722352970713132E-3</v>
      </c>
    </row>
    <row r="59" spans="1:7" ht="17" thickBot="1" x14ac:dyDescent="0.25">
      <c r="A59" s="4">
        <v>39762</v>
      </c>
      <c r="B59" s="10">
        <v>873.29</v>
      </c>
      <c r="C59" s="13">
        <v>40273</v>
      </c>
      <c r="D59" s="10">
        <v>1194.3699999999999</v>
      </c>
      <c r="E59" s="10">
        <v>511</v>
      </c>
      <c r="F59" s="10">
        <v>36.770000000000003</v>
      </c>
      <c r="G59" s="3">
        <f t="shared" si="0"/>
        <v>4.2983407974517274E-3</v>
      </c>
    </row>
    <row r="60" spans="1:7" ht="17" thickBot="1" x14ac:dyDescent="0.25">
      <c r="A60" s="6">
        <v>39769</v>
      </c>
      <c r="B60" s="9">
        <v>800.03</v>
      </c>
      <c r="C60" s="12">
        <v>40273</v>
      </c>
      <c r="D60" s="9">
        <v>1194.3699999999999</v>
      </c>
      <c r="E60" s="9">
        <v>504</v>
      </c>
      <c r="F60" s="9">
        <v>49.29</v>
      </c>
      <c r="G60" s="3">
        <f t="shared" si="0"/>
        <v>5.581140492016301E-3</v>
      </c>
    </row>
    <row r="61" spans="1:7" ht="17" thickBot="1" x14ac:dyDescent="0.25">
      <c r="A61" s="4">
        <v>39867</v>
      </c>
      <c r="B61" s="10">
        <v>735.09</v>
      </c>
      <c r="C61" s="13">
        <v>40273</v>
      </c>
      <c r="D61" s="10">
        <v>1194.3699999999999</v>
      </c>
      <c r="E61" s="10">
        <v>406</v>
      </c>
      <c r="F61" s="10">
        <v>62.48</v>
      </c>
      <c r="G61" s="3">
        <f t="shared" si="0"/>
        <v>8.4037561364391777E-3</v>
      </c>
    </row>
    <row r="62" spans="1:7" ht="17" thickBot="1" x14ac:dyDescent="0.25">
      <c r="A62" s="6">
        <v>39874</v>
      </c>
      <c r="B62" s="9">
        <v>683.38</v>
      </c>
      <c r="C62" s="12">
        <v>40273</v>
      </c>
      <c r="D62" s="9">
        <v>1194.3699999999999</v>
      </c>
      <c r="E62" s="9">
        <v>399</v>
      </c>
      <c r="F62" s="9">
        <v>74.77</v>
      </c>
      <c r="G62" s="3">
        <f t="shared" si="0"/>
        <v>9.8432707268154562E-3</v>
      </c>
    </row>
    <row r="63" spans="1:7" ht="17" thickBot="1" x14ac:dyDescent="0.25">
      <c r="A63" s="4">
        <v>40770</v>
      </c>
      <c r="B63" s="10">
        <v>1123.53</v>
      </c>
      <c r="C63" s="13">
        <v>41337</v>
      </c>
      <c r="D63" s="10">
        <v>1551.18</v>
      </c>
      <c r="E63" s="10">
        <v>567</v>
      </c>
      <c r="F63" s="10">
        <v>38.06</v>
      </c>
      <c r="G63" s="3">
        <f t="shared" si="0"/>
        <v>3.9899190753904801E-3</v>
      </c>
    </row>
    <row r="64" spans="1:7" ht="17" thickBot="1" x14ac:dyDescent="0.25">
      <c r="A64" s="6">
        <v>43906</v>
      </c>
      <c r="B64" s="9">
        <v>2304.92</v>
      </c>
      <c r="C64" s="12">
        <v>44291</v>
      </c>
      <c r="D64" s="9">
        <v>4128.8</v>
      </c>
      <c r="E64" s="9">
        <v>385</v>
      </c>
      <c r="F64" s="9">
        <v>79.13</v>
      </c>
      <c r="G64" s="3">
        <f t="shared" si="0"/>
        <v>1.0655291916294107E-2</v>
      </c>
    </row>
    <row r="65" spans="1:7" ht="17" thickBot="1" x14ac:dyDescent="0.25">
      <c r="A65" s="4">
        <v>45747</v>
      </c>
      <c r="B65" s="10">
        <v>5074.08</v>
      </c>
      <c r="C65" s="13">
        <v>45915</v>
      </c>
      <c r="D65" s="10">
        <v>6664.36</v>
      </c>
      <c r="E65" s="10">
        <v>168</v>
      </c>
      <c r="F65" s="10">
        <v>31.34</v>
      </c>
      <c r="G65" s="3">
        <f t="shared" si="0"/>
        <v>1.1424293503554672E-2</v>
      </c>
    </row>
    <row r="67" spans="1:7" x14ac:dyDescent="0.2">
      <c r="G67" s="3" cm="1">
        <f t="array" ref="G67">GEOMEAN(1+G2:G65)-1</f>
        <v>4.641441658859824E-3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Hatem Mohamed Mahmoud Mabrouk</dc:creator>
  <cp:lastModifiedBy>Hatem Mohamed Mahmoud Mabrouk</cp:lastModifiedBy>
  <dcterms:created xsi:type="dcterms:W3CDTF">2026-03-09T23:40:20Z</dcterms:created>
  <dcterms:modified xsi:type="dcterms:W3CDTF">2026-03-19T07:30:42Z</dcterms:modified>
</cp:coreProperties>
</file>