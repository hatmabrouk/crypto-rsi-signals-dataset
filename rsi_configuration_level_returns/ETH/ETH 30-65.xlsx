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ETH/"/>
    </mc:Choice>
  </mc:AlternateContent>
  <xr:revisionPtr revIDLastSave="0" documentId="13_ncr:1_{9523E218-B4F2-3B45-9B49-1346B91B90B8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G12" i="1" l="1" a="1"/>
  <c r="G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<sst xmlns="http://schemas.openxmlformats.org/spreadsheetml/2006/main" count="8" uniqueCount="8">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</sst>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2"/>
  <sheetViews>
    <sheetView tabSelected="1" zoomScale="160" zoomScaleNormal="156" workbookViewId="0">
      <selection activeCell="G12" sqref="G12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43423</v>
      </c>
      <c r="B2" s="7">
        <v>161.26249999999999</v>
      </c>
      <c r="C2" s="4">
        <v>43598</v>
      </c>
      <c r="D2" s="7">
        <v>271.26499999999999</v>
      </c>
      <c r="E2" s="7">
        <v>175</v>
      </c>
      <c r="F2" s="7">
        <v>68.209999999999994</v>
      </c>
      <c r="G2" s="3">
        <f>(D2/B2)^(7/E2)-1</f>
        <v>2.1020389624657021E-2</v>
      </c>
    </row>
    <row r="3" spans="1:9" ht="17" thickBot="1" x14ac:dyDescent="0.25">
      <c r="A3" s="5">
        <v>43430</v>
      </c>
      <c r="B3" s="8">
        <v>161.54499999999999</v>
      </c>
      <c r="C3" s="11">
        <v>43598</v>
      </c>
      <c r="D3" s="8">
        <v>271.26499999999999</v>
      </c>
      <c r="E3" s="8">
        <v>168</v>
      </c>
      <c r="F3" s="8">
        <v>67.92</v>
      </c>
      <c r="G3" s="3">
        <f t="shared" ref="G3:G10" si="0">(D3/B3)^(7/E3)-1</f>
        <v>2.1831241641945276E-2</v>
      </c>
    </row>
    <row r="4" spans="1:9" ht="17" thickBot="1" x14ac:dyDescent="0.25">
      <c r="A4" s="6">
        <v>43437</v>
      </c>
      <c r="B4" s="9">
        <v>145.005</v>
      </c>
      <c r="C4" s="12">
        <v>43598</v>
      </c>
      <c r="D4" s="9">
        <v>271.26499999999999</v>
      </c>
      <c r="E4" s="9">
        <v>161</v>
      </c>
      <c r="F4" s="9">
        <v>87.07</v>
      </c>
      <c r="G4" s="3">
        <f t="shared" si="0"/>
        <v>2.7605821345808357E-2</v>
      </c>
    </row>
    <row r="5" spans="1:9" ht="17" thickBot="1" x14ac:dyDescent="0.25">
      <c r="A5" s="4">
        <v>43444</v>
      </c>
      <c r="B5" s="10">
        <v>138.27500000000001</v>
      </c>
      <c r="C5" s="13">
        <v>43598</v>
      </c>
      <c r="D5" s="10">
        <v>271.26499999999999</v>
      </c>
      <c r="E5" s="10">
        <v>154</v>
      </c>
      <c r="F5" s="10">
        <v>96.18</v>
      </c>
      <c r="G5" s="3">
        <f t="shared" si="0"/>
        <v>3.1103538041312273E-2</v>
      </c>
    </row>
    <row r="6" spans="1:9" ht="17" thickBot="1" x14ac:dyDescent="0.25">
      <c r="A6" s="6">
        <v>44718</v>
      </c>
      <c r="B6" s="9">
        <v>1433.28</v>
      </c>
      <c r="C6" s="12">
        <v>45026</v>
      </c>
      <c r="D6" s="9">
        <v>2120.25</v>
      </c>
      <c r="E6" s="9">
        <v>308</v>
      </c>
      <c r="F6" s="9">
        <v>47.93</v>
      </c>
      <c r="G6" s="3">
        <f t="shared" si="0"/>
        <v>8.9390000402269632E-3</v>
      </c>
    </row>
    <row r="7" spans="1:9" ht="17" thickBot="1" x14ac:dyDescent="0.25">
      <c r="A7" s="4">
        <v>44725</v>
      </c>
      <c r="B7" s="10">
        <v>1125.28</v>
      </c>
      <c r="C7" s="13">
        <v>45026</v>
      </c>
      <c r="D7" s="10">
        <v>2120.25</v>
      </c>
      <c r="E7" s="10">
        <v>301</v>
      </c>
      <c r="F7" s="10">
        <v>88.42</v>
      </c>
      <c r="G7" s="3">
        <f t="shared" si="0"/>
        <v>1.4841667050299545E-2</v>
      </c>
    </row>
    <row r="8" spans="1:9" ht="17" thickBot="1" x14ac:dyDescent="0.25">
      <c r="A8" s="6">
        <v>44732</v>
      </c>
      <c r="B8" s="9">
        <v>1197.58</v>
      </c>
      <c r="C8" s="12">
        <v>45026</v>
      </c>
      <c r="D8" s="9">
        <v>2120.25</v>
      </c>
      <c r="E8" s="9">
        <v>294</v>
      </c>
      <c r="F8" s="9">
        <v>77.040000000000006</v>
      </c>
      <c r="G8" s="3">
        <f t="shared" si="0"/>
        <v>1.3693652551032054E-2</v>
      </c>
    </row>
    <row r="9" spans="1:9" ht="17" thickBot="1" x14ac:dyDescent="0.25">
      <c r="A9" s="4">
        <v>44739</v>
      </c>
      <c r="B9" s="10">
        <v>1073.1400000000001</v>
      </c>
      <c r="C9" s="13">
        <v>45026</v>
      </c>
      <c r="D9" s="10">
        <v>2120.25</v>
      </c>
      <c r="E9" s="10">
        <v>287</v>
      </c>
      <c r="F9" s="10">
        <v>97.57</v>
      </c>
      <c r="G9" s="3">
        <f t="shared" si="0"/>
        <v>1.6747102956189863E-2</v>
      </c>
    </row>
    <row r="10" spans="1:9" ht="17" thickBot="1" x14ac:dyDescent="0.25">
      <c r="A10" s="5">
        <v>44746</v>
      </c>
      <c r="B10" s="8">
        <v>1167.1600000000001</v>
      </c>
      <c r="C10" s="11">
        <v>45026</v>
      </c>
      <c r="D10" s="8">
        <v>2120.25</v>
      </c>
      <c r="E10" s="8">
        <v>280</v>
      </c>
      <c r="F10" s="8">
        <v>81.66</v>
      </c>
      <c r="G10" s="3">
        <f t="shared" si="0"/>
        <v>1.5035933131093859E-2</v>
      </c>
    </row>
    <row r="12" spans="1:9" x14ac:dyDescent="0.2">
      <c r="G12" s="3" cm="1">
        <f t="array" ref="G12">GEOMEAN(1+G2:G10)-1</f>
        <v>1.8958042162361854E-2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2026-03-19T05:26:31Z</dcterms:modified>
</cp:coreProperties>
</file>