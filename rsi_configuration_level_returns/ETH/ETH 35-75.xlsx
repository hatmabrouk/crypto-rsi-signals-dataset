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temmabrouk/Documents/P Files /Publications/TE2026/Data/5. Geometric Mean/ETH/"/>
    </mc:Choice>
  </mc:AlternateContent>
  <xr:revisionPtr revIDLastSave="0" documentId="13_ncr:1_{65FF3800-38B3-D14F-804B-27407EFED1FA}" xr6:coauthVersionLast="47" xr6:coauthVersionMax="47" xr10:uidLastSave="{00000000-0000-0000-0000-000000000000}"/>
  <bookViews>
    <workbookView xWindow="0" yWindow="500" windowWidth="28800" windowHeight="16280" xr2:uid="{0B5DF638-97F6-6A46-94CC-8921B7B73F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" i="1"/>
  <c r="G22" i="1" s="1" a="1"/>
  <c r="G2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<sst xmlns="http://schemas.openxmlformats.org/spreadsheetml/2006/main" count="7" uniqueCount="7">
  <si>
    <t>Buy Date</t>
  </si>
  <si>
    <t>Buy Price in USD</t>
  </si>
  <si>
    <t>Sell Date</t>
  </si>
  <si>
    <t>Sell Price in USD</t>
  </si>
  <si>
    <t>Profit/Loss (%)</t>
  </si>
  <si>
    <t>Holding Period (days)</t>
  </si>
  <si>
    <t>(%) by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</si>
</sst>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5" x14ac:knownFonts="1">
    <font>
      <sz val="12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2"/>
      <color theme="1"/>
      <name val="Aptos Narrow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/>
      <bottom style="medium">
        <color rgb="FF7F7F7F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/>
    <xf numFmtId="14" fontId="3" fillId="0" borderId="1" xfId="0" applyNumberFormat="1" applyFont="1" applyBorder="1" applyAlignment="1">
      <alignment vertical="center" wrapText="1"/>
    </xf>
    <xf numFmtId="14" fontId="3" fillId="0" borderId="2" xfId="0" applyNumberFormat="1" applyFont="1" applyBorder="1" applyAlignment="1">
      <alignment vertical="center" wrapText="1"/>
    </xf>
    <xf numFmtId="14" fontId="3" fillId="0" borderId="0" xfId="0" applyNumberFormat="1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14" fontId="4" fillId="0" borderId="2" xfId="0" applyNumberFormat="1" applyFont="1" applyBorder="1" applyAlignment="1">
      <alignment vertical="center" wrapText="1"/>
    </xf>
    <xf numFmtId="14" fontId="4" fillId="0" borderId="0" xfId="0" applyNumberFormat="1" applyFont="1" applyAlignment="1">
      <alignment vertical="center" wrapText="1"/>
    </xf>
    <xf numFmtId="14" fontId="4" fillId="0" borderId="1" xfId="0" applyNumberFormat="1" applyFont="1" applyBorder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D1AF8-849D-A740-9C32-C1D56B326AE9}">
  <dimension ref="A1:I22"/>
  <sheetViews>
    <sheetView tabSelected="1" zoomScale="160" zoomScaleNormal="156" workbookViewId="0">
      <selection activeCell="G22" sqref="G22"/>
    </sheetView>
  </sheetViews>
  <sheetFormatPr baseColWidth="10" defaultRowHeight="16" x14ac:dyDescent="0.2"/>
  <cols>
    <col min="3" max="3" width="13.33203125" customWidth="1"/>
  </cols>
  <sheetData>
    <row r="1" spans="1:9" ht="29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2" t="s">
        <v>6</v>
      </c>
      <c r="I1" s="2"/>
    </row>
    <row r="2" spans="1:9" ht="17" thickBot="1" x14ac:dyDescent="0.25">
      <c r="A2" s="4">
        <v>42702</v>
      </c>
      <c r="B2" s="7">
        <v>7.3610100000000003</v>
      </c>
      <c r="C2" s="4">
        <v>42793</v>
      </c>
      <c r="D2" s="7">
        <v>19.032579999999999</v>
      </c>
      <c r="E2" s="7">
        <v>91</v>
      </c>
      <c r="F2" s="7">
        <v>158.56</v>
      </c>
      <c r="G2" s="3">
        <f>(D2/B2)^(7/E2)-1</f>
        <v>7.5809572577026918E-2</v>
      </c>
    </row>
    <row r="3" spans="1:9" ht="17" thickBot="1" x14ac:dyDescent="0.25">
      <c r="A3" s="5">
        <v>43346</v>
      </c>
      <c r="B3" s="8">
        <v>222.42</v>
      </c>
      <c r="C3" s="11">
        <v>44039</v>
      </c>
      <c r="D3" s="8">
        <v>372.11250000000001</v>
      </c>
      <c r="E3" s="8">
        <v>693</v>
      </c>
      <c r="F3" s="8">
        <v>67.3</v>
      </c>
      <c r="G3" s="3">
        <f t="shared" ref="G3:G20" si="0">(D3/B3)^(7/E3)-1</f>
        <v>5.2118045641849076E-3</v>
      </c>
    </row>
    <row r="4" spans="1:9" ht="17" thickBot="1" x14ac:dyDescent="0.25">
      <c r="A4" s="6">
        <v>43353</v>
      </c>
      <c r="B4" s="9">
        <v>240.57749999999999</v>
      </c>
      <c r="C4" s="12">
        <v>44039</v>
      </c>
      <c r="D4" s="9">
        <v>372.11250000000001</v>
      </c>
      <c r="E4" s="9">
        <v>686</v>
      </c>
      <c r="F4" s="9">
        <v>54.67</v>
      </c>
      <c r="G4" s="3">
        <f t="shared" si="0"/>
        <v>4.4604688670357717E-3</v>
      </c>
    </row>
    <row r="5" spans="1:9" ht="17" thickBot="1" x14ac:dyDescent="0.25">
      <c r="A5" s="4">
        <v>43381</v>
      </c>
      <c r="B5" s="10">
        <v>219.30250000000001</v>
      </c>
      <c r="C5" s="13">
        <v>44039</v>
      </c>
      <c r="D5" s="10">
        <v>372.11250000000001</v>
      </c>
      <c r="E5" s="10">
        <v>658</v>
      </c>
      <c r="F5" s="10">
        <v>69.680000000000007</v>
      </c>
      <c r="G5" s="3">
        <f t="shared" si="0"/>
        <v>5.6407876744712926E-3</v>
      </c>
    </row>
    <row r="6" spans="1:9" ht="17" thickBot="1" x14ac:dyDescent="0.25">
      <c r="A6" s="6">
        <v>43416</v>
      </c>
      <c r="B6" s="9">
        <v>207.3075</v>
      </c>
      <c r="C6" s="12">
        <v>44039</v>
      </c>
      <c r="D6" s="9">
        <v>372.11250000000001</v>
      </c>
      <c r="E6" s="9">
        <v>623</v>
      </c>
      <c r="F6" s="9">
        <v>79.5</v>
      </c>
      <c r="G6" s="3">
        <f t="shared" si="0"/>
        <v>6.5946046680942505E-3</v>
      </c>
    </row>
    <row r="7" spans="1:9" ht="17" thickBot="1" x14ac:dyDescent="0.25">
      <c r="A7" s="4">
        <v>43423</v>
      </c>
      <c r="B7" s="10">
        <v>161.26249999999999</v>
      </c>
      <c r="C7" s="13">
        <v>44039</v>
      </c>
      <c r="D7" s="10">
        <v>372.11250000000001</v>
      </c>
      <c r="E7" s="10">
        <v>616</v>
      </c>
      <c r="F7" s="10">
        <v>130.75</v>
      </c>
      <c r="G7" s="3">
        <f t="shared" si="0"/>
        <v>9.5471353899190259E-3</v>
      </c>
    </row>
    <row r="8" spans="1:9" ht="17" thickBot="1" x14ac:dyDescent="0.25">
      <c r="A8" s="6">
        <v>43430</v>
      </c>
      <c r="B8" s="9">
        <v>161.54499999999999</v>
      </c>
      <c r="C8" s="12">
        <v>44039</v>
      </c>
      <c r="D8" s="9">
        <v>372.11250000000001</v>
      </c>
      <c r="E8" s="9">
        <v>609</v>
      </c>
      <c r="F8" s="9">
        <v>130.35</v>
      </c>
      <c r="G8" s="3">
        <f t="shared" si="0"/>
        <v>9.6370886536678579E-3</v>
      </c>
    </row>
    <row r="9" spans="1:9" ht="17" thickBot="1" x14ac:dyDescent="0.25">
      <c r="A9" s="4">
        <v>43437</v>
      </c>
      <c r="B9" s="10">
        <v>145.005</v>
      </c>
      <c r="C9" s="13">
        <v>44039</v>
      </c>
      <c r="D9" s="10">
        <v>372.11250000000001</v>
      </c>
      <c r="E9" s="10">
        <v>602</v>
      </c>
      <c r="F9" s="10">
        <v>156.62</v>
      </c>
      <c r="G9" s="3">
        <f t="shared" si="0"/>
        <v>1.1018729066354593E-2</v>
      </c>
    </row>
    <row r="10" spans="1:9" ht="17" thickBot="1" x14ac:dyDescent="0.25">
      <c r="A10" s="6">
        <v>43444</v>
      </c>
      <c r="B10" s="9">
        <v>138.27500000000001</v>
      </c>
      <c r="C10" s="12">
        <v>44039</v>
      </c>
      <c r="D10" s="9">
        <v>372.11250000000001</v>
      </c>
      <c r="E10" s="9">
        <v>595</v>
      </c>
      <c r="F10" s="9">
        <v>169.11</v>
      </c>
      <c r="G10" s="3">
        <f t="shared" si="0"/>
        <v>1.1714575875220401E-2</v>
      </c>
    </row>
    <row r="11" spans="1:9" ht="17" thickBot="1" x14ac:dyDescent="0.25">
      <c r="A11" s="4">
        <v>43451</v>
      </c>
      <c r="B11" s="10">
        <v>172.60749999999999</v>
      </c>
      <c r="C11" s="13">
        <v>44039</v>
      </c>
      <c r="D11" s="10">
        <v>372.11250000000001</v>
      </c>
      <c r="E11" s="10">
        <v>588</v>
      </c>
      <c r="F11" s="10">
        <v>115.58</v>
      </c>
      <c r="G11" s="3">
        <f t="shared" si="0"/>
        <v>9.1868951811069355E-3</v>
      </c>
    </row>
    <row r="12" spans="1:9" ht="17" thickBot="1" x14ac:dyDescent="0.25">
      <c r="A12" s="6">
        <v>43493</v>
      </c>
      <c r="B12" s="9">
        <v>154.97749999999999</v>
      </c>
      <c r="C12" s="12">
        <v>44039</v>
      </c>
      <c r="D12" s="9">
        <v>372.11250000000001</v>
      </c>
      <c r="E12" s="9">
        <v>546</v>
      </c>
      <c r="F12" s="9">
        <v>140.11000000000001</v>
      </c>
      <c r="G12" s="3">
        <f t="shared" si="0"/>
        <v>1.1292985655167787E-2</v>
      </c>
    </row>
    <row r="13" spans="1:9" ht="17" thickBot="1" x14ac:dyDescent="0.25">
      <c r="A13" s="4">
        <v>44704</v>
      </c>
      <c r="B13" s="10">
        <v>1811.16</v>
      </c>
      <c r="C13" s="13">
        <v>45341</v>
      </c>
      <c r="D13" s="10">
        <v>3112.68</v>
      </c>
      <c r="E13" s="10">
        <v>637</v>
      </c>
      <c r="F13" s="10">
        <v>71.86</v>
      </c>
      <c r="G13" s="3">
        <f t="shared" si="0"/>
        <v>5.9684722861192974E-3</v>
      </c>
    </row>
    <row r="14" spans="1:9" ht="17" thickBot="1" x14ac:dyDescent="0.25">
      <c r="A14" s="6">
        <v>44711</v>
      </c>
      <c r="B14" s="9">
        <v>1805.08</v>
      </c>
      <c r="C14" s="12">
        <v>45341</v>
      </c>
      <c r="D14" s="9">
        <v>3112.68</v>
      </c>
      <c r="E14" s="9">
        <v>630</v>
      </c>
      <c r="F14" s="9">
        <v>72.44</v>
      </c>
      <c r="G14" s="3">
        <f t="shared" si="0"/>
        <v>6.0725768923395318E-3</v>
      </c>
    </row>
    <row r="15" spans="1:9" ht="17" thickBot="1" x14ac:dyDescent="0.25">
      <c r="A15" s="4">
        <v>44718</v>
      </c>
      <c r="B15" s="10">
        <v>1433.28</v>
      </c>
      <c r="C15" s="13">
        <v>45341</v>
      </c>
      <c r="D15" s="10">
        <v>3112.68</v>
      </c>
      <c r="E15" s="10">
        <v>623</v>
      </c>
      <c r="F15" s="10">
        <v>117.17</v>
      </c>
      <c r="G15" s="3">
        <f t="shared" si="0"/>
        <v>8.7517664908527415E-3</v>
      </c>
    </row>
    <row r="16" spans="1:9" ht="17" thickBot="1" x14ac:dyDescent="0.25">
      <c r="A16" s="6">
        <v>44725</v>
      </c>
      <c r="B16" s="9">
        <v>1125.28</v>
      </c>
      <c r="C16" s="12">
        <v>45341</v>
      </c>
      <c r="D16" s="9">
        <v>3112.68</v>
      </c>
      <c r="E16" s="9">
        <v>616</v>
      </c>
      <c r="F16" s="9">
        <v>176.61</v>
      </c>
      <c r="G16" s="3">
        <f t="shared" si="0"/>
        <v>1.1629054560869934E-2</v>
      </c>
    </row>
    <row r="17" spans="1:7" ht="17" thickBot="1" x14ac:dyDescent="0.25">
      <c r="A17" s="4">
        <v>44732</v>
      </c>
      <c r="B17" s="10">
        <v>1197.58</v>
      </c>
      <c r="C17" s="13">
        <v>45341</v>
      </c>
      <c r="D17" s="10">
        <v>3112.68</v>
      </c>
      <c r="E17" s="10">
        <v>609</v>
      </c>
      <c r="F17" s="10">
        <v>159.91</v>
      </c>
      <c r="G17" s="3">
        <f t="shared" si="0"/>
        <v>1.1039586121973199E-2</v>
      </c>
    </row>
    <row r="18" spans="1:7" ht="17" thickBot="1" x14ac:dyDescent="0.25">
      <c r="A18" s="6">
        <v>44739</v>
      </c>
      <c r="B18" s="9">
        <v>1073.1400000000001</v>
      </c>
      <c r="C18" s="12">
        <v>45341</v>
      </c>
      <c r="D18" s="9">
        <v>3112.68</v>
      </c>
      <c r="E18" s="9">
        <v>602</v>
      </c>
      <c r="F18" s="9">
        <v>190.05</v>
      </c>
      <c r="G18" s="3">
        <f t="shared" si="0"/>
        <v>1.2459482457721771E-2</v>
      </c>
    </row>
    <row r="19" spans="1:7" ht="17" thickBot="1" x14ac:dyDescent="0.25">
      <c r="A19" s="4">
        <v>44746</v>
      </c>
      <c r="B19" s="10">
        <v>1167.1600000000001</v>
      </c>
      <c r="C19" s="13">
        <v>45341</v>
      </c>
      <c r="D19" s="10">
        <v>3112.68</v>
      </c>
      <c r="E19" s="10">
        <v>595</v>
      </c>
      <c r="F19" s="10">
        <v>166.69</v>
      </c>
      <c r="G19" s="3">
        <f t="shared" si="0"/>
        <v>1.1606969349265306E-2</v>
      </c>
    </row>
    <row r="20" spans="1:7" ht="17" thickBot="1" x14ac:dyDescent="0.25">
      <c r="A20" s="5">
        <v>44753</v>
      </c>
      <c r="B20" s="8">
        <v>1337.87</v>
      </c>
      <c r="C20" s="11">
        <v>45341</v>
      </c>
      <c r="D20" s="8">
        <v>3112.68</v>
      </c>
      <c r="E20" s="8">
        <v>588</v>
      </c>
      <c r="F20" s="8">
        <v>132.66</v>
      </c>
      <c r="G20" s="3">
        <f t="shared" si="0"/>
        <v>1.0103139524903826E-2</v>
      </c>
    </row>
    <row r="21" spans="1:7" x14ac:dyDescent="0.2">
      <c r="A21" s="6"/>
      <c r="B21" s="9"/>
      <c r="C21" s="12"/>
      <c r="D21" s="9"/>
      <c r="E21" s="9"/>
      <c r="F21" s="9"/>
    </row>
    <row r="22" spans="1:7" x14ac:dyDescent="0.2">
      <c r="G22" s="3" cm="1">
        <f t="array" ref="G22">GEOMEAN(1+G2:G20)-1</f>
        <v>1.2404054948543131E-2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Hatem Mohamed Mahmoud Mabrouk</dc:creator>
  <cp:lastModifiedBy>Hatem Mohamed Mahmoud Mabrouk</cp:lastModifiedBy>
  <dcterms:created xsi:type="dcterms:W3CDTF">2026-03-09T23:40:20Z</dcterms:created>
  <dcterms:modified xsi:type="dcterms:W3CDTF">2026-03-19T06:03:04Z</dcterms:modified>
</cp:coreProperties>
</file>