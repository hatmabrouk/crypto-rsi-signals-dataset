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4. Data with observations and weekly returns/Geometric Mean/Bitcoin/"/>
    </mc:Choice>
  </mc:AlternateContent>
  <xr:revisionPtr revIDLastSave="0" documentId="13_ncr:1_{D4D0E416-B370-EF47-9571-24DB2CB1B139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 a="1"/>
  <c r="G51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<sst xmlns="http://schemas.openxmlformats.org/spreadsheetml/2006/main" count="8" uniqueCount="8">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</sst>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1"/>
  <sheetViews>
    <sheetView tabSelected="1" topLeftCell="A34" zoomScale="160" zoomScaleNormal="156" workbookViewId="0">
      <selection activeCell="I47" sqref="I4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41904</v>
      </c>
      <c r="B2" s="7">
        <v>376.7</v>
      </c>
      <c r="C2" s="4">
        <v>42303</v>
      </c>
      <c r="D2" s="7">
        <v>330.23</v>
      </c>
      <c r="E2" s="7">
        <v>399</v>
      </c>
      <c r="F2" s="7">
        <v>-12.34</v>
      </c>
      <c r="G2" s="3">
        <f>(D2/B2)^(7/E2)-1</f>
        <v>-2.3071543014379081E-3</v>
      </c>
    </row>
    <row r="3" spans="1:9" ht="17" thickBot="1" x14ac:dyDescent="0.25">
      <c r="A3" s="5">
        <v>41911</v>
      </c>
      <c r="B3" s="8">
        <v>319.89999999999998</v>
      </c>
      <c r="C3" s="5">
        <v>42303</v>
      </c>
      <c r="D3" s="10">
        <v>330.23</v>
      </c>
      <c r="E3" s="10">
        <v>392</v>
      </c>
      <c r="F3" s="10">
        <v>3.23</v>
      </c>
      <c r="G3" s="3">
        <f t="shared" ref="G3:G49" si="0">(D3/B3)^(7/E3)-1</f>
        <v>5.6767775433841372E-4</v>
      </c>
    </row>
    <row r="4" spans="1:9" ht="17" thickBot="1" x14ac:dyDescent="0.25">
      <c r="A4" s="6">
        <v>41939</v>
      </c>
      <c r="B4" s="9">
        <v>323.82</v>
      </c>
      <c r="C4" s="6">
        <v>42303</v>
      </c>
      <c r="D4" s="11">
        <v>330.23</v>
      </c>
      <c r="E4" s="11">
        <v>364</v>
      </c>
      <c r="F4" s="11">
        <v>1.98</v>
      </c>
      <c r="G4" s="3">
        <f t="shared" si="0"/>
        <v>3.770244313960891E-4</v>
      </c>
    </row>
    <row r="5" spans="1:9" ht="17" thickBot="1" x14ac:dyDescent="0.25">
      <c r="A5" s="4">
        <v>42002</v>
      </c>
      <c r="B5" s="7">
        <v>264.19</v>
      </c>
      <c r="C5" s="4">
        <v>42303</v>
      </c>
      <c r="D5" s="12">
        <v>330.23</v>
      </c>
      <c r="E5" s="12">
        <v>301</v>
      </c>
      <c r="F5" s="12">
        <v>25</v>
      </c>
      <c r="G5" s="3">
        <f t="shared" si="0"/>
        <v>5.2023421789160196E-3</v>
      </c>
    </row>
    <row r="6" spans="1:9" ht="17" thickBot="1" x14ac:dyDescent="0.25">
      <c r="A6" s="6">
        <v>42009</v>
      </c>
      <c r="B6" s="9">
        <v>267.27</v>
      </c>
      <c r="C6" s="6">
        <v>42303</v>
      </c>
      <c r="D6" s="11">
        <v>330.23</v>
      </c>
      <c r="E6" s="11">
        <v>294</v>
      </c>
      <c r="F6" s="11">
        <v>23.56</v>
      </c>
      <c r="G6" s="3">
        <f t="shared" si="0"/>
        <v>5.0491326484696231E-3</v>
      </c>
    </row>
    <row r="7" spans="1:9" ht="17" thickBot="1" x14ac:dyDescent="0.25">
      <c r="A7" s="4">
        <v>42016</v>
      </c>
      <c r="B7" s="7">
        <v>211.03</v>
      </c>
      <c r="C7" s="4">
        <v>42303</v>
      </c>
      <c r="D7" s="12">
        <v>330.23</v>
      </c>
      <c r="E7" s="12">
        <v>287</v>
      </c>
      <c r="F7" s="12">
        <v>56.48</v>
      </c>
      <c r="G7" s="3">
        <f t="shared" si="0"/>
        <v>1.0981544150186151E-2</v>
      </c>
    </row>
    <row r="8" spans="1:9" ht="17" thickBot="1" x14ac:dyDescent="0.25">
      <c r="A8" s="6">
        <v>42030</v>
      </c>
      <c r="B8" s="9">
        <v>226.92</v>
      </c>
      <c r="C8" s="6">
        <v>42303</v>
      </c>
      <c r="D8" s="11">
        <v>330.23</v>
      </c>
      <c r="E8" s="11">
        <v>273</v>
      </c>
      <c r="F8" s="11">
        <v>45.53</v>
      </c>
      <c r="G8" s="3">
        <f t="shared" si="0"/>
        <v>9.6667276926283296E-3</v>
      </c>
    </row>
    <row r="9" spans="1:9" ht="17" thickBot="1" x14ac:dyDescent="0.25">
      <c r="A9" s="4">
        <v>42037</v>
      </c>
      <c r="B9" s="7">
        <v>223.85</v>
      </c>
      <c r="C9" s="4">
        <v>42303</v>
      </c>
      <c r="D9" s="12">
        <v>330.23</v>
      </c>
      <c r="E9" s="12">
        <v>266</v>
      </c>
      <c r="F9" s="12">
        <v>47.52</v>
      </c>
      <c r="G9" s="3">
        <f t="shared" si="0"/>
        <v>1.0284451377752024E-2</v>
      </c>
    </row>
    <row r="10" spans="1:9" ht="17" thickBot="1" x14ac:dyDescent="0.25">
      <c r="A10" s="6">
        <v>42044</v>
      </c>
      <c r="B10" s="9">
        <v>235.88</v>
      </c>
      <c r="C10" s="6">
        <v>42303</v>
      </c>
      <c r="D10" s="11">
        <v>330.23</v>
      </c>
      <c r="E10" s="11">
        <v>259</v>
      </c>
      <c r="F10" s="11">
        <v>40</v>
      </c>
      <c r="G10" s="3">
        <f t="shared" si="0"/>
        <v>9.1351536795176713E-3</v>
      </c>
    </row>
    <row r="11" spans="1:9" ht="17" thickBot="1" x14ac:dyDescent="0.25">
      <c r="A11" s="4">
        <v>42051</v>
      </c>
      <c r="B11" s="7">
        <v>236.5</v>
      </c>
      <c r="C11" s="4">
        <v>42303</v>
      </c>
      <c r="D11" s="12">
        <v>330.23</v>
      </c>
      <c r="E11" s="12">
        <v>252</v>
      </c>
      <c r="F11" s="12">
        <v>39.630000000000003</v>
      </c>
      <c r="G11" s="3">
        <f t="shared" si="0"/>
        <v>9.3164968068433218E-3</v>
      </c>
    </row>
    <row r="12" spans="1:9" ht="17" thickBot="1" x14ac:dyDescent="0.25">
      <c r="A12" s="6">
        <v>43423</v>
      </c>
      <c r="B12" s="9">
        <v>3935.51</v>
      </c>
      <c r="C12" s="6">
        <v>43591</v>
      </c>
      <c r="D12" s="11">
        <v>6976.06</v>
      </c>
      <c r="E12" s="11">
        <v>168</v>
      </c>
      <c r="F12" s="11">
        <v>77.260000000000005</v>
      </c>
      <c r="G12" s="3">
        <f t="shared" si="0"/>
        <v>2.4138555254613836E-2</v>
      </c>
    </row>
    <row r="13" spans="1:9" ht="17" thickBot="1" x14ac:dyDescent="0.25">
      <c r="A13" s="4">
        <v>43430</v>
      </c>
      <c r="B13" s="7">
        <v>4102.1000000000004</v>
      </c>
      <c r="C13" s="4">
        <v>43591</v>
      </c>
      <c r="D13" s="12">
        <v>6976.06</v>
      </c>
      <c r="E13" s="12">
        <v>161</v>
      </c>
      <c r="F13" s="12">
        <v>70.06</v>
      </c>
      <c r="G13" s="3">
        <f t="shared" si="0"/>
        <v>2.3354866823270148E-2</v>
      </c>
    </row>
    <row r="14" spans="1:9" ht="17" thickBot="1" x14ac:dyDescent="0.25">
      <c r="A14" s="6">
        <v>43437</v>
      </c>
      <c r="B14" s="9">
        <v>3532.52</v>
      </c>
      <c r="C14" s="6">
        <v>43591</v>
      </c>
      <c r="D14" s="11">
        <v>6976.06</v>
      </c>
      <c r="E14" s="11">
        <v>154</v>
      </c>
      <c r="F14" s="11">
        <v>97.48</v>
      </c>
      <c r="G14" s="3">
        <f t="shared" si="0"/>
        <v>3.1413902064723498E-2</v>
      </c>
    </row>
    <row r="15" spans="1:9" ht="17" thickBot="1" x14ac:dyDescent="0.25">
      <c r="A15" s="4">
        <v>43444</v>
      </c>
      <c r="B15" s="7">
        <v>3192.87</v>
      </c>
      <c r="C15" s="4">
        <v>43591</v>
      </c>
      <c r="D15" s="12">
        <v>6976.06</v>
      </c>
      <c r="E15" s="12">
        <v>147</v>
      </c>
      <c r="F15" s="12">
        <v>118.49</v>
      </c>
      <c r="G15" s="3">
        <f t="shared" si="0"/>
        <v>3.7918575011476996E-2</v>
      </c>
    </row>
    <row r="16" spans="1:9" ht="17" thickBot="1" x14ac:dyDescent="0.25">
      <c r="A16" s="6">
        <v>43472</v>
      </c>
      <c r="B16" s="9">
        <v>3514.22</v>
      </c>
      <c r="C16" s="6">
        <v>43591</v>
      </c>
      <c r="D16" s="11">
        <v>6976.06</v>
      </c>
      <c r="E16" s="11">
        <v>119</v>
      </c>
      <c r="F16" s="11">
        <v>98.51</v>
      </c>
      <c r="G16" s="3">
        <f t="shared" si="0"/>
        <v>4.1157770557052942E-2</v>
      </c>
    </row>
    <row r="17" spans="1:7" ht="17" thickBot="1" x14ac:dyDescent="0.25">
      <c r="A17" s="4">
        <v>43479</v>
      </c>
      <c r="B17" s="7">
        <v>3534.25</v>
      </c>
      <c r="C17" s="4">
        <v>43591</v>
      </c>
      <c r="D17" s="12">
        <v>6976.06</v>
      </c>
      <c r="E17" s="12">
        <v>112</v>
      </c>
      <c r="F17" s="12">
        <v>97.38</v>
      </c>
      <c r="G17" s="3">
        <f t="shared" si="0"/>
        <v>4.341495913893656E-2</v>
      </c>
    </row>
    <row r="18" spans="1:7" ht="17" thickBot="1" x14ac:dyDescent="0.25">
      <c r="A18" s="6">
        <v>43486</v>
      </c>
      <c r="B18" s="9">
        <v>3531.82</v>
      </c>
      <c r="C18" s="6">
        <v>43591</v>
      </c>
      <c r="D18" s="11">
        <v>6976.06</v>
      </c>
      <c r="E18" s="11">
        <v>105</v>
      </c>
      <c r="F18" s="11">
        <v>97.52</v>
      </c>
      <c r="G18" s="3">
        <f t="shared" si="0"/>
        <v>4.6423400755531308E-2</v>
      </c>
    </row>
    <row r="19" spans="1:7" ht="17" thickBot="1" x14ac:dyDescent="0.25">
      <c r="A19" s="4">
        <v>43493</v>
      </c>
      <c r="B19" s="7">
        <v>3415.2</v>
      </c>
      <c r="C19" s="4">
        <v>43591</v>
      </c>
      <c r="D19" s="12">
        <v>6976.06</v>
      </c>
      <c r="E19" s="12">
        <v>98</v>
      </c>
      <c r="F19" s="12">
        <v>104.27</v>
      </c>
      <c r="G19" s="3">
        <f t="shared" si="0"/>
        <v>5.2341551962260313E-2</v>
      </c>
    </row>
    <row r="20" spans="1:7" ht="17" thickBot="1" x14ac:dyDescent="0.25">
      <c r="A20" s="6">
        <v>43899</v>
      </c>
      <c r="B20" s="9">
        <v>5343.14</v>
      </c>
      <c r="C20" s="6">
        <v>44039</v>
      </c>
      <c r="D20" s="11">
        <v>11066.14</v>
      </c>
      <c r="E20" s="11">
        <v>140</v>
      </c>
      <c r="F20" s="11">
        <v>107.11</v>
      </c>
      <c r="G20" s="3">
        <f t="shared" si="0"/>
        <v>3.7074558607802288E-2</v>
      </c>
    </row>
    <row r="21" spans="1:7" ht="17" thickBot="1" x14ac:dyDescent="0.25">
      <c r="A21" s="4">
        <v>44690</v>
      </c>
      <c r="B21" s="7">
        <v>31293.29</v>
      </c>
      <c r="C21" s="4">
        <v>44998</v>
      </c>
      <c r="D21" s="12">
        <v>28051.94</v>
      </c>
      <c r="E21" s="12">
        <v>308</v>
      </c>
      <c r="F21" s="12">
        <v>-10.36</v>
      </c>
      <c r="G21" s="3">
        <f t="shared" si="0"/>
        <v>-2.4820488326157131E-3</v>
      </c>
    </row>
    <row r="22" spans="1:7" ht="17" thickBot="1" x14ac:dyDescent="0.25">
      <c r="A22" s="6">
        <v>44697</v>
      </c>
      <c r="B22" s="9">
        <v>30264.11</v>
      </c>
      <c r="C22" s="6">
        <v>44998</v>
      </c>
      <c r="D22" s="11">
        <v>28051.94</v>
      </c>
      <c r="E22" s="11">
        <v>301</v>
      </c>
      <c r="F22" s="11">
        <v>-7.31</v>
      </c>
      <c r="G22" s="3">
        <f t="shared" si="0"/>
        <v>-1.7636691885691835E-3</v>
      </c>
    </row>
    <row r="23" spans="1:7" ht="17" thickBot="1" x14ac:dyDescent="0.25">
      <c r="A23" s="4">
        <v>44704</v>
      </c>
      <c r="B23" s="7">
        <v>29449.54</v>
      </c>
      <c r="C23" s="4">
        <v>44998</v>
      </c>
      <c r="D23" s="12">
        <v>28051.94</v>
      </c>
      <c r="E23" s="12">
        <v>294</v>
      </c>
      <c r="F23" s="12">
        <v>-4.75</v>
      </c>
      <c r="G23" s="3">
        <f t="shared" si="0"/>
        <v>-1.1569611203325891E-3</v>
      </c>
    </row>
    <row r="24" spans="1:7" ht="17" thickBot="1" x14ac:dyDescent="0.25">
      <c r="A24" s="6">
        <v>44711</v>
      </c>
      <c r="B24" s="9">
        <v>29899.4</v>
      </c>
      <c r="C24" s="6">
        <v>44998</v>
      </c>
      <c r="D24" s="11">
        <v>28051.94</v>
      </c>
      <c r="E24" s="11">
        <v>287</v>
      </c>
      <c r="F24" s="11">
        <v>-6.18</v>
      </c>
      <c r="G24" s="3">
        <f t="shared" si="0"/>
        <v>-1.5544155578236518E-3</v>
      </c>
    </row>
    <row r="25" spans="1:7" ht="17" thickBot="1" x14ac:dyDescent="0.25">
      <c r="A25" s="4">
        <v>44718</v>
      </c>
      <c r="B25" s="7">
        <v>26565.119999999999</v>
      </c>
      <c r="C25" s="4">
        <v>44998</v>
      </c>
      <c r="D25" s="12">
        <v>28051.94</v>
      </c>
      <c r="E25" s="12">
        <v>280</v>
      </c>
      <c r="F25" s="12">
        <v>5.6</v>
      </c>
      <c r="G25" s="3">
        <f t="shared" si="0"/>
        <v>1.3623950849419586E-3</v>
      </c>
    </row>
    <row r="26" spans="1:7" ht="17" thickBot="1" x14ac:dyDescent="0.25">
      <c r="A26" s="6">
        <v>44725</v>
      </c>
      <c r="B26" s="9">
        <v>20552.98</v>
      </c>
      <c r="C26" s="6">
        <v>44998</v>
      </c>
      <c r="D26" s="11">
        <v>28051.94</v>
      </c>
      <c r="E26" s="11">
        <v>273</v>
      </c>
      <c r="F26" s="11">
        <v>36.49</v>
      </c>
      <c r="G26" s="3">
        <f t="shared" si="0"/>
        <v>8.0075789704949774E-3</v>
      </c>
    </row>
    <row r="27" spans="1:7" ht="17" thickBot="1" x14ac:dyDescent="0.25">
      <c r="A27" s="4">
        <v>44732</v>
      </c>
      <c r="B27" s="7">
        <v>21029.53</v>
      </c>
      <c r="C27" s="4">
        <v>44998</v>
      </c>
      <c r="D27" s="12">
        <v>28051.94</v>
      </c>
      <c r="E27" s="12">
        <v>266</v>
      </c>
      <c r="F27" s="12">
        <v>33.39</v>
      </c>
      <c r="G27" s="3">
        <f t="shared" si="0"/>
        <v>7.6111913822192179E-3</v>
      </c>
    </row>
    <row r="28" spans="1:7" ht="17" thickBot="1" x14ac:dyDescent="0.25">
      <c r="A28" s="6">
        <v>44739</v>
      </c>
      <c r="B28" s="9">
        <v>19292.669999999998</v>
      </c>
      <c r="C28" s="6">
        <v>44998</v>
      </c>
      <c r="D28" s="11">
        <v>28051.94</v>
      </c>
      <c r="E28" s="11">
        <v>259</v>
      </c>
      <c r="F28" s="11">
        <v>45.4</v>
      </c>
      <c r="G28" s="3">
        <f t="shared" si="0"/>
        <v>1.0168447082666843E-2</v>
      </c>
    </row>
    <row r="29" spans="1:7" ht="17" thickBot="1" x14ac:dyDescent="0.25">
      <c r="A29" s="4">
        <v>44746</v>
      </c>
      <c r="B29" s="7">
        <v>20843.12</v>
      </c>
      <c r="C29" s="4">
        <v>44998</v>
      </c>
      <c r="D29" s="12">
        <v>28051.94</v>
      </c>
      <c r="E29" s="12">
        <v>252</v>
      </c>
      <c r="F29" s="12">
        <v>34.590000000000003</v>
      </c>
      <c r="G29" s="3">
        <f t="shared" si="0"/>
        <v>8.2850737695145948E-3</v>
      </c>
    </row>
    <row r="30" spans="1:7" ht="17" thickBot="1" x14ac:dyDescent="0.25">
      <c r="A30" s="6">
        <v>44753</v>
      </c>
      <c r="B30" s="9">
        <v>20793.29</v>
      </c>
      <c r="C30" s="6">
        <v>44998</v>
      </c>
      <c r="D30" s="11">
        <v>28051.94</v>
      </c>
      <c r="E30" s="11">
        <v>245</v>
      </c>
      <c r="F30" s="11">
        <v>34.909999999999997</v>
      </c>
      <c r="G30" s="3">
        <f t="shared" si="0"/>
        <v>8.5917692859172057E-3</v>
      </c>
    </row>
    <row r="31" spans="1:7" ht="17" thickBot="1" x14ac:dyDescent="0.25">
      <c r="A31" s="4">
        <v>44760</v>
      </c>
      <c r="B31" s="7">
        <v>22586.22</v>
      </c>
      <c r="C31" s="4">
        <v>44998</v>
      </c>
      <c r="D31" s="12">
        <v>28051.94</v>
      </c>
      <c r="E31" s="12">
        <v>238</v>
      </c>
      <c r="F31" s="12">
        <v>24.2</v>
      </c>
      <c r="G31" s="3">
        <f t="shared" si="0"/>
        <v>6.394410624102953E-3</v>
      </c>
    </row>
    <row r="32" spans="1:7" ht="17" thickBot="1" x14ac:dyDescent="0.25">
      <c r="A32" s="6">
        <v>44767</v>
      </c>
      <c r="B32" s="9">
        <v>23315.95</v>
      </c>
      <c r="C32" s="6">
        <v>44998</v>
      </c>
      <c r="D32" s="11">
        <v>28051.94</v>
      </c>
      <c r="E32" s="11">
        <v>231</v>
      </c>
      <c r="F32" s="11">
        <v>20.309999999999999</v>
      </c>
      <c r="G32" s="3">
        <f t="shared" si="0"/>
        <v>5.6193696380320013E-3</v>
      </c>
    </row>
    <row r="33" spans="1:7" ht="17" thickBot="1" x14ac:dyDescent="0.25">
      <c r="A33" s="4">
        <v>44774</v>
      </c>
      <c r="B33" s="7">
        <v>23181.62</v>
      </c>
      <c r="C33" s="4">
        <v>44998</v>
      </c>
      <c r="D33" s="12">
        <v>28051.94</v>
      </c>
      <c r="E33" s="12">
        <v>224</v>
      </c>
      <c r="F33" s="12">
        <v>21.01</v>
      </c>
      <c r="G33" s="3">
        <f t="shared" si="0"/>
        <v>5.9771066808316231E-3</v>
      </c>
    </row>
    <row r="34" spans="1:7" ht="17" thickBot="1" x14ac:dyDescent="0.25">
      <c r="A34" s="6">
        <v>44788</v>
      </c>
      <c r="B34" s="9">
        <v>21495.97</v>
      </c>
      <c r="C34" s="6">
        <v>44998</v>
      </c>
      <c r="D34" s="11">
        <v>28051.94</v>
      </c>
      <c r="E34" s="11">
        <v>210</v>
      </c>
      <c r="F34" s="11">
        <v>30.5</v>
      </c>
      <c r="G34" s="3">
        <f t="shared" si="0"/>
        <v>8.9125596428281106E-3</v>
      </c>
    </row>
    <row r="35" spans="1:7" ht="17" thickBot="1" x14ac:dyDescent="0.25">
      <c r="A35" s="4">
        <v>44795</v>
      </c>
      <c r="B35" s="7">
        <v>19550.11</v>
      </c>
      <c r="C35" s="4">
        <v>44998</v>
      </c>
      <c r="D35" s="12">
        <v>28051.94</v>
      </c>
      <c r="E35" s="12">
        <v>203</v>
      </c>
      <c r="F35" s="12">
        <v>43.49</v>
      </c>
      <c r="G35" s="3">
        <f t="shared" si="0"/>
        <v>1.252876234991751E-2</v>
      </c>
    </row>
    <row r="36" spans="1:7" ht="17" thickBot="1" x14ac:dyDescent="0.25">
      <c r="A36" s="6">
        <v>44802</v>
      </c>
      <c r="B36" s="9">
        <v>20004.080000000002</v>
      </c>
      <c r="C36" s="6">
        <v>44998</v>
      </c>
      <c r="D36" s="11">
        <v>28051.94</v>
      </c>
      <c r="E36" s="11">
        <v>196</v>
      </c>
      <c r="F36" s="11">
        <v>40.229999999999997</v>
      </c>
      <c r="G36" s="3">
        <f t="shared" si="0"/>
        <v>1.2148975730963629E-2</v>
      </c>
    </row>
    <row r="37" spans="1:7" ht="17" thickBot="1" x14ac:dyDescent="0.25">
      <c r="A37" s="4">
        <v>44816</v>
      </c>
      <c r="B37" s="7">
        <v>19420.939999999999</v>
      </c>
      <c r="C37" s="4">
        <v>44998</v>
      </c>
      <c r="D37" s="12">
        <v>28051.94</v>
      </c>
      <c r="E37" s="12">
        <v>182</v>
      </c>
      <c r="F37" s="12">
        <v>44.44</v>
      </c>
      <c r="G37" s="3">
        <f t="shared" si="0"/>
        <v>1.4243014403445331E-2</v>
      </c>
    </row>
    <row r="38" spans="1:7" ht="17" thickBot="1" x14ac:dyDescent="0.25">
      <c r="A38" s="6">
        <v>44823</v>
      </c>
      <c r="B38" s="9">
        <v>18808.52</v>
      </c>
      <c r="C38" s="6">
        <v>44998</v>
      </c>
      <c r="D38" s="11">
        <v>28051.94</v>
      </c>
      <c r="E38" s="11">
        <v>175</v>
      </c>
      <c r="F38" s="11">
        <v>49.14</v>
      </c>
      <c r="G38" s="3">
        <f t="shared" si="0"/>
        <v>1.6118436097873445E-2</v>
      </c>
    </row>
    <row r="39" spans="1:7" ht="17" thickBot="1" x14ac:dyDescent="0.25">
      <c r="A39" s="4">
        <v>44830</v>
      </c>
      <c r="B39" s="7">
        <v>19057.330000000002</v>
      </c>
      <c r="C39" s="4">
        <v>44998</v>
      </c>
      <c r="D39" s="12">
        <v>28051.94</v>
      </c>
      <c r="E39" s="12">
        <v>168</v>
      </c>
      <c r="F39" s="12">
        <v>47.2</v>
      </c>
      <c r="G39" s="3">
        <f t="shared" si="0"/>
        <v>1.6239025499386051E-2</v>
      </c>
    </row>
    <row r="40" spans="1:7" ht="17" thickBot="1" x14ac:dyDescent="0.25">
      <c r="A40" s="6">
        <v>44837</v>
      </c>
      <c r="B40" s="9">
        <v>19445.939999999999</v>
      </c>
      <c r="C40" s="6">
        <v>44998</v>
      </c>
      <c r="D40" s="11">
        <v>28051.94</v>
      </c>
      <c r="E40" s="11">
        <v>161</v>
      </c>
      <c r="F40" s="11">
        <v>44.26</v>
      </c>
      <c r="G40" s="3">
        <f t="shared" si="0"/>
        <v>1.6058861380199962E-2</v>
      </c>
    </row>
    <row r="41" spans="1:7" ht="17" thickBot="1" x14ac:dyDescent="0.25">
      <c r="A41" s="4">
        <v>44844</v>
      </c>
      <c r="B41" s="7">
        <v>19263.43</v>
      </c>
      <c r="C41" s="4">
        <v>44998</v>
      </c>
      <c r="D41" s="12">
        <v>28051.94</v>
      </c>
      <c r="E41" s="12">
        <v>154</v>
      </c>
      <c r="F41" s="12">
        <v>45.62</v>
      </c>
      <c r="G41" s="3">
        <f t="shared" si="0"/>
        <v>1.7230826783428244E-2</v>
      </c>
    </row>
    <row r="42" spans="1:7" ht="17" thickBot="1" x14ac:dyDescent="0.25">
      <c r="A42" s="6">
        <v>44872</v>
      </c>
      <c r="B42" s="9">
        <v>16309.05</v>
      </c>
      <c r="C42" s="6">
        <v>44998</v>
      </c>
      <c r="D42" s="11">
        <v>28051.94</v>
      </c>
      <c r="E42" s="11">
        <v>126</v>
      </c>
      <c r="F42" s="11">
        <v>72</v>
      </c>
      <c r="G42" s="3">
        <f t="shared" si="0"/>
        <v>3.0588365674355744E-2</v>
      </c>
    </row>
    <row r="43" spans="1:7" ht="17" thickBot="1" x14ac:dyDescent="0.25">
      <c r="A43" s="4">
        <v>44879</v>
      </c>
      <c r="B43" s="7">
        <v>16255.15</v>
      </c>
      <c r="C43" s="4">
        <v>44998</v>
      </c>
      <c r="D43" s="12">
        <v>28051.94</v>
      </c>
      <c r="E43" s="12">
        <v>119</v>
      </c>
      <c r="F43" s="12">
        <v>72.569999999999993</v>
      </c>
      <c r="G43" s="3">
        <f t="shared" si="0"/>
        <v>3.2617604234741471E-2</v>
      </c>
    </row>
    <row r="44" spans="1:7" ht="17" thickBot="1" x14ac:dyDescent="0.25">
      <c r="A44" s="6">
        <v>44886</v>
      </c>
      <c r="B44" s="9">
        <v>16424.41</v>
      </c>
      <c r="C44" s="6">
        <v>44998</v>
      </c>
      <c r="D44" s="11">
        <v>28051.94</v>
      </c>
      <c r="E44" s="11">
        <v>112</v>
      </c>
      <c r="F44" s="11">
        <v>70.790000000000006</v>
      </c>
      <c r="G44" s="3">
        <f t="shared" si="0"/>
        <v>3.4021502999001862E-2</v>
      </c>
    </row>
    <row r="45" spans="1:7" ht="17" thickBot="1" x14ac:dyDescent="0.25">
      <c r="A45" s="4">
        <v>44893</v>
      </c>
      <c r="B45" s="7">
        <v>17113.75</v>
      </c>
      <c r="C45" s="4">
        <v>44998</v>
      </c>
      <c r="D45" s="12">
        <v>28051.94</v>
      </c>
      <c r="E45" s="12">
        <v>105</v>
      </c>
      <c r="F45" s="12">
        <v>63.91</v>
      </c>
      <c r="G45" s="3">
        <f t="shared" si="0"/>
        <v>3.3493733958539496E-2</v>
      </c>
    </row>
    <row r="46" spans="1:7" ht="17" thickBot="1" x14ac:dyDescent="0.25">
      <c r="A46" s="6">
        <v>44900</v>
      </c>
      <c r="B46" s="9">
        <v>17091.900000000001</v>
      </c>
      <c r="C46" s="6">
        <v>44998</v>
      </c>
      <c r="D46" s="11">
        <v>28051.94</v>
      </c>
      <c r="E46" s="11">
        <v>98</v>
      </c>
      <c r="F46" s="11">
        <v>64.12</v>
      </c>
      <c r="G46" s="3">
        <f t="shared" si="0"/>
        <v>3.6023170472444299E-2</v>
      </c>
    </row>
    <row r="47" spans="1:7" ht="17" thickBot="1" x14ac:dyDescent="0.25">
      <c r="A47" s="4">
        <v>44907</v>
      </c>
      <c r="B47" s="7">
        <v>16745.810000000001</v>
      </c>
      <c r="C47" s="4">
        <v>44998</v>
      </c>
      <c r="D47" s="12">
        <v>28051.94</v>
      </c>
      <c r="E47" s="12">
        <v>91</v>
      </c>
      <c r="F47" s="12">
        <v>67.52</v>
      </c>
      <c r="G47" s="3">
        <f t="shared" si="0"/>
        <v>4.0483347730535746E-2</v>
      </c>
    </row>
    <row r="48" spans="1:7" ht="17" thickBot="1" x14ac:dyDescent="0.25">
      <c r="A48" s="6">
        <v>44914</v>
      </c>
      <c r="B48" s="9">
        <v>16828.900000000001</v>
      </c>
      <c r="C48" s="6">
        <v>44998</v>
      </c>
      <c r="D48" s="11">
        <v>28051.94</v>
      </c>
      <c r="E48" s="11">
        <v>84</v>
      </c>
      <c r="F48" s="11">
        <v>66.69</v>
      </c>
      <c r="G48" s="3">
        <f t="shared" si="0"/>
        <v>4.3499545623368663E-2</v>
      </c>
    </row>
    <row r="49" spans="1:7" ht="17" thickBot="1" x14ac:dyDescent="0.25">
      <c r="A49" s="4">
        <v>44921</v>
      </c>
      <c r="B49" s="7">
        <v>16613.48</v>
      </c>
      <c r="C49" s="4">
        <v>44998</v>
      </c>
      <c r="D49" s="12">
        <v>28051.94</v>
      </c>
      <c r="E49" s="12">
        <v>77</v>
      </c>
      <c r="F49" s="12">
        <v>68.849999999999994</v>
      </c>
      <c r="G49" s="3">
        <f t="shared" si="0"/>
        <v>4.8774275122557498E-2</v>
      </c>
    </row>
    <row r="51" spans="1:7" x14ac:dyDescent="0.2">
      <c r="G51" s="3" cm="1">
        <f t="array" ref="G51">GEOMEAN(1+G2:G48)-1</f>
        <v>1.7220492925988706E-2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2026-03-18T09:32:42Z</dcterms:modified>
</cp:coreProperties>
</file>