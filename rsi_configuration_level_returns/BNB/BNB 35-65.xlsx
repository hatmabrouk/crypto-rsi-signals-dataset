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NB/"/>
    </mc:Choice>
  </mc:AlternateContent>
  <xr:revisionPtr revIDLastSave="0" documentId="13_ncr:1_{33BD2F2A-D8AD-7C4A-A9CE-0408B726A151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20" i="1" s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<sst xmlns="http://schemas.openxmlformats.org/spreadsheetml/2006/main" count="8" uniqueCount="8">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</sst>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0"/>
  <sheetViews>
    <sheetView tabSelected="1" zoomScale="160" zoomScaleNormal="156" workbookViewId="0">
      <selection activeCell="G20" sqref="G2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43423</v>
      </c>
      <c r="B2" s="7">
        <v>5.0980629999999998</v>
      </c>
      <c r="C2" s="4">
        <v>43528</v>
      </c>
      <c r="D2" s="7">
        <v>14.313065999999999</v>
      </c>
      <c r="E2" s="7">
        <v>105</v>
      </c>
      <c r="F2" s="7">
        <v>180.75</v>
      </c>
      <c r="G2" s="3">
        <f>(D2/B2)^(7/E2)-1</f>
        <v>7.1244236602757471E-2</v>
      </c>
    </row>
    <row r="3" spans="1:9" ht="17" thickBot="1" x14ac:dyDescent="0.25">
      <c r="A3" s="5">
        <v>43430</v>
      </c>
      <c r="B3" s="8">
        <v>5.205152</v>
      </c>
      <c r="C3" s="11">
        <v>43528</v>
      </c>
      <c r="D3" s="8">
        <v>14.313065999999999</v>
      </c>
      <c r="E3" s="8">
        <v>98</v>
      </c>
      <c r="F3" s="8">
        <v>174.98</v>
      </c>
      <c r="G3" s="3">
        <f t="shared" ref="G3:G18" si="0">(D3/B3)^(7/E3)-1</f>
        <v>7.4925878229374021E-2</v>
      </c>
    </row>
    <row r="4" spans="1:9" ht="17" thickBot="1" x14ac:dyDescent="0.25">
      <c r="A4" s="6">
        <v>43437</v>
      </c>
      <c r="B4" s="9">
        <v>4.7561879999999999</v>
      </c>
      <c r="C4" s="12">
        <v>43528</v>
      </c>
      <c r="D4" s="9">
        <v>14.313065999999999</v>
      </c>
      <c r="E4" s="9">
        <v>91</v>
      </c>
      <c r="F4" s="9">
        <v>200.94</v>
      </c>
      <c r="G4" s="3">
        <f t="shared" si="0"/>
        <v>8.8442938751948974E-2</v>
      </c>
    </row>
    <row r="5" spans="1:9" ht="17" thickBot="1" x14ac:dyDescent="0.25">
      <c r="A5" s="4">
        <v>43444</v>
      </c>
      <c r="B5" s="10">
        <v>4.5699550000000002</v>
      </c>
      <c r="C5" s="13">
        <v>43528</v>
      </c>
      <c r="D5" s="10">
        <v>14.313065999999999</v>
      </c>
      <c r="E5" s="10">
        <v>84</v>
      </c>
      <c r="F5" s="10">
        <v>213.2</v>
      </c>
      <c r="G5" s="3">
        <f t="shared" si="0"/>
        <v>9.9811852906758869E-2</v>
      </c>
    </row>
    <row r="6" spans="1:9" ht="17" thickBot="1" x14ac:dyDescent="0.25">
      <c r="A6" s="6">
        <v>43899</v>
      </c>
      <c r="B6" s="9">
        <v>10.354461000000001</v>
      </c>
      <c r="C6" s="12">
        <v>44053</v>
      </c>
      <c r="D6" s="9">
        <v>23.540507999999999</v>
      </c>
      <c r="E6" s="9">
        <v>154</v>
      </c>
      <c r="F6" s="9">
        <v>127.35</v>
      </c>
      <c r="G6" s="3">
        <f t="shared" si="0"/>
        <v>3.8037650649989319E-2</v>
      </c>
    </row>
    <row r="7" spans="1:9" ht="17" thickBot="1" x14ac:dyDescent="0.25">
      <c r="A7" s="4">
        <v>44718</v>
      </c>
      <c r="B7" s="10">
        <v>254.56795</v>
      </c>
      <c r="C7" s="13">
        <v>45285</v>
      </c>
      <c r="D7" s="10">
        <v>311.83800100000002</v>
      </c>
      <c r="E7" s="10">
        <v>567</v>
      </c>
      <c r="F7" s="10">
        <v>22.5</v>
      </c>
      <c r="G7" s="3">
        <f t="shared" si="0"/>
        <v>2.5082766599875406E-3</v>
      </c>
    </row>
    <row r="8" spans="1:9" ht="17" thickBot="1" x14ac:dyDescent="0.25">
      <c r="A8" s="6">
        <v>44725</v>
      </c>
      <c r="B8" s="9">
        <v>214.93247500000001</v>
      </c>
      <c r="C8" s="12">
        <v>45285</v>
      </c>
      <c r="D8" s="9">
        <v>311.83800100000002</v>
      </c>
      <c r="E8" s="9">
        <v>560</v>
      </c>
      <c r="F8" s="9">
        <v>45.09</v>
      </c>
      <c r="G8" s="3">
        <f t="shared" si="0"/>
        <v>4.6628363003531348E-3</v>
      </c>
    </row>
    <row r="9" spans="1:9" ht="17" thickBot="1" x14ac:dyDescent="0.25">
      <c r="A9" s="4">
        <v>44732</v>
      </c>
      <c r="B9" s="10">
        <v>233.84155000000001</v>
      </c>
      <c r="C9" s="13">
        <v>45285</v>
      </c>
      <c r="D9" s="10">
        <v>311.83800100000002</v>
      </c>
      <c r="E9" s="10">
        <v>553</v>
      </c>
      <c r="F9" s="10">
        <v>33.35</v>
      </c>
      <c r="G9" s="3">
        <f t="shared" si="0"/>
        <v>3.6501910477946264E-3</v>
      </c>
    </row>
    <row r="10" spans="1:9" ht="17" thickBot="1" x14ac:dyDescent="0.25">
      <c r="A10" s="6">
        <v>44739</v>
      </c>
      <c r="B10" s="9">
        <v>218.918025</v>
      </c>
      <c r="C10" s="12">
        <v>45285</v>
      </c>
      <c r="D10" s="9">
        <v>311.83800100000002</v>
      </c>
      <c r="E10" s="9">
        <v>546</v>
      </c>
      <c r="F10" s="9">
        <v>42.45</v>
      </c>
      <c r="G10" s="3">
        <f t="shared" si="0"/>
        <v>4.546026078210641E-3</v>
      </c>
    </row>
    <row r="11" spans="1:9" ht="17" thickBot="1" x14ac:dyDescent="0.25">
      <c r="A11" s="4">
        <v>44746</v>
      </c>
      <c r="B11" s="10">
        <v>234.599875</v>
      </c>
      <c r="C11" s="13">
        <v>45285</v>
      </c>
      <c r="D11" s="10">
        <v>311.83800100000002</v>
      </c>
      <c r="E11" s="10">
        <v>539</v>
      </c>
      <c r="F11" s="10">
        <v>32.92</v>
      </c>
      <c r="G11" s="3">
        <f t="shared" si="0"/>
        <v>3.7029744824721433E-3</v>
      </c>
    </row>
    <row r="12" spans="1:9" ht="17" thickBot="1" x14ac:dyDescent="0.25">
      <c r="A12" s="6">
        <v>45152</v>
      </c>
      <c r="B12" s="9">
        <v>216.463337</v>
      </c>
      <c r="C12" s="12">
        <v>45285</v>
      </c>
      <c r="D12" s="9">
        <v>311.83800100000002</v>
      </c>
      <c r="E12" s="9">
        <v>133</v>
      </c>
      <c r="F12" s="9">
        <v>44.06</v>
      </c>
      <c r="G12" s="3">
        <f t="shared" si="0"/>
        <v>1.9399596363629756E-2</v>
      </c>
    </row>
    <row r="13" spans="1:9" ht="17" thickBot="1" x14ac:dyDescent="0.25">
      <c r="A13" s="4">
        <v>45159</v>
      </c>
      <c r="B13" s="10">
        <v>218.20666700000001</v>
      </c>
      <c r="C13" s="13">
        <v>45285</v>
      </c>
      <c r="D13" s="10">
        <v>311.83800100000002</v>
      </c>
      <c r="E13" s="10">
        <v>126</v>
      </c>
      <c r="F13" s="10">
        <v>42.91</v>
      </c>
      <c r="G13" s="3">
        <f t="shared" si="0"/>
        <v>2.0033655262527761E-2</v>
      </c>
    </row>
    <row r="14" spans="1:9" ht="17" thickBot="1" x14ac:dyDescent="0.25">
      <c r="A14" s="6">
        <v>45166</v>
      </c>
      <c r="B14" s="9">
        <v>214.20160100000001</v>
      </c>
      <c r="C14" s="12">
        <v>45285</v>
      </c>
      <c r="D14" s="9">
        <v>311.83800100000002</v>
      </c>
      <c r="E14" s="9">
        <v>119</v>
      </c>
      <c r="F14" s="9">
        <v>45.58</v>
      </c>
      <c r="G14" s="3">
        <f t="shared" si="0"/>
        <v>2.2337967111957235E-2</v>
      </c>
    </row>
    <row r="15" spans="1:9" ht="17" thickBot="1" x14ac:dyDescent="0.25">
      <c r="A15" s="4">
        <v>45173</v>
      </c>
      <c r="B15" s="10">
        <v>212.18148600000001</v>
      </c>
      <c r="C15" s="13">
        <v>45285</v>
      </c>
      <c r="D15" s="10">
        <v>311.83800100000002</v>
      </c>
      <c r="E15" s="10">
        <v>112</v>
      </c>
      <c r="F15" s="10">
        <v>46.97</v>
      </c>
      <c r="G15" s="3">
        <f t="shared" si="0"/>
        <v>2.435701742441343E-2</v>
      </c>
    </row>
    <row r="16" spans="1:9" ht="17" thickBot="1" x14ac:dyDescent="0.25">
      <c r="A16" s="6">
        <v>45180</v>
      </c>
      <c r="B16" s="9">
        <v>216.36</v>
      </c>
      <c r="C16" s="12">
        <v>45285</v>
      </c>
      <c r="D16" s="9">
        <v>311.83800100000002</v>
      </c>
      <c r="E16" s="9">
        <v>105</v>
      </c>
      <c r="F16" s="9">
        <v>44.13</v>
      </c>
      <c r="G16" s="3">
        <f t="shared" si="0"/>
        <v>2.4668701770933055E-2</v>
      </c>
    </row>
    <row r="17" spans="1:7" ht="17" thickBot="1" x14ac:dyDescent="0.25">
      <c r="A17" s="4">
        <v>45187</v>
      </c>
      <c r="B17" s="10">
        <v>208.21</v>
      </c>
      <c r="C17" s="13">
        <v>45285</v>
      </c>
      <c r="D17" s="10">
        <v>311.83800100000002</v>
      </c>
      <c r="E17" s="10">
        <v>98</v>
      </c>
      <c r="F17" s="10">
        <v>49.77</v>
      </c>
      <c r="G17" s="3">
        <f t="shared" si="0"/>
        <v>2.9272886090080164E-2</v>
      </c>
    </row>
    <row r="18" spans="1:7" ht="17" thickBot="1" x14ac:dyDescent="0.25">
      <c r="A18" s="5">
        <v>45208</v>
      </c>
      <c r="B18" s="8">
        <v>209.66651100000001</v>
      </c>
      <c r="C18" s="11">
        <v>45285</v>
      </c>
      <c r="D18" s="8">
        <v>311.83800100000002</v>
      </c>
      <c r="E18" s="8">
        <v>77</v>
      </c>
      <c r="F18" s="8">
        <v>48.73</v>
      </c>
      <c r="G18" s="3">
        <f t="shared" si="0"/>
        <v>3.6746850002817188E-2</v>
      </c>
    </row>
    <row r="20" spans="1:7" x14ac:dyDescent="0.2">
      <c r="G20" s="3" cm="1">
        <f t="array" ref="G20">GEOMEAN(1+G2:G18)-1</f>
        <v>3.2993839419013682E-2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2026-03-19T04:31:20Z</dcterms:modified>
</cp:coreProperties>
</file>